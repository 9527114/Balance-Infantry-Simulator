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大二下\机器人控制与建模\proj\simulator_balanceinfantry_cyy\LQR_control\"/>
    </mc:Choice>
  </mc:AlternateContent>
  <xr:revisionPtr revIDLastSave="0" documentId="13_ncr:1_{342504C7-1124-4266-8A98-1980604A18A9}" xr6:coauthVersionLast="47" xr6:coauthVersionMax="47" xr10:uidLastSave="{00000000-0000-0000-0000-000000000000}"/>
  <bookViews>
    <workbookView xWindow="6795" yWindow="418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  <c r="N1" i="1"/>
  <c r="M1" i="1"/>
  <c r="L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2" tint="-0.249977111117893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"/>
  <sheetViews>
    <sheetView tabSelected="1" topLeftCell="A74" workbookViewId="0">
      <selection activeCell="G105" sqref="G105"/>
    </sheetView>
  </sheetViews>
  <sheetFormatPr defaultRowHeight="14.25" x14ac:dyDescent="0.2"/>
  <sheetData>
    <row r="1" spans="1:16" x14ac:dyDescent="0.2">
      <c r="A1" s="1">
        <v>0</v>
      </c>
      <c r="B1" s="1">
        <v>64.790000000000006</v>
      </c>
      <c r="C1" s="2">
        <v>50.09</v>
      </c>
      <c r="D1" s="1">
        <f>C1-14.61</f>
        <v>35.480000000000004</v>
      </c>
      <c r="E1" s="1">
        <f>P1</f>
        <v>1.2806964170000001E-2</v>
      </c>
      <c r="F1" s="1">
        <v>1.461E-2</v>
      </c>
      <c r="G1" s="1">
        <v>0.1</v>
      </c>
      <c r="H1" s="1">
        <v>0.24</v>
      </c>
      <c r="I1" s="1">
        <v>0.308</v>
      </c>
      <c r="J1" s="1">
        <v>1.8</v>
      </c>
      <c r="K1" s="1">
        <v>10.3</v>
      </c>
      <c r="L1" s="1">
        <f>(1357370.14+465600)/1000000000</f>
        <v>1.8229701399999998E-3</v>
      </c>
      <c r="M1" s="1">
        <f>(266024118.66)/1000000000</f>
        <v>0.26602411865999998</v>
      </c>
      <c r="N1" s="1">
        <f>(617226660.51)/1000000000</f>
        <v>0.61722666050999997</v>
      </c>
      <c r="O1" s="1">
        <v>12806964.17</v>
      </c>
      <c r="P1">
        <f>O1/1000000000</f>
        <v>1.2806964170000001E-2</v>
      </c>
    </row>
    <row r="2" spans="1:16" x14ac:dyDescent="0.2">
      <c r="A2" s="1">
        <v>2.5</v>
      </c>
      <c r="B2" s="1">
        <v>0</v>
      </c>
      <c r="C2" s="2">
        <v>0</v>
      </c>
      <c r="D2" s="1">
        <f t="shared" ref="D2:D4" si="0">C2-14.61</f>
        <v>-14.61</v>
      </c>
      <c r="E2" s="1">
        <f t="shared" ref="E2:E65" si="1">P2</f>
        <v>0</v>
      </c>
      <c r="O2" s="1">
        <v>0</v>
      </c>
      <c r="P2">
        <f t="shared" ref="P2:P65" si="2">O2/1000000000</f>
        <v>0</v>
      </c>
    </row>
    <row r="3" spans="1:16" x14ac:dyDescent="0.2">
      <c r="A3" s="1">
        <v>5</v>
      </c>
      <c r="B3" s="1">
        <v>0</v>
      </c>
      <c r="C3" s="2">
        <v>0</v>
      </c>
      <c r="D3" s="1">
        <f t="shared" si="0"/>
        <v>-14.61</v>
      </c>
      <c r="E3" s="1">
        <f t="shared" si="1"/>
        <v>0</v>
      </c>
      <c r="O3" s="1">
        <v>0</v>
      </c>
      <c r="P3">
        <f t="shared" si="2"/>
        <v>0</v>
      </c>
    </row>
    <row r="4" spans="1:16" x14ac:dyDescent="0.2">
      <c r="A4" s="1">
        <v>7.5</v>
      </c>
      <c r="B4" s="1">
        <v>0</v>
      </c>
      <c r="C4" s="2">
        <v>0</v>
      </c>
      <c r="D4" s="1">
        <f t="shared" si="0"/>
        <v>-14.61</v>
      </c>
      <c r="E4" s="1">
        <f t="shared" si="1"/>
        <v>0</v>
      </c>
      <c r="O4" s="1">
        <v>0</v>
      </c>
      <c r="P4">
        <f t="shared" si="2"/>
        <v>0</v>
      </c>
    </row>
    <row r="5" spans="1:16" x14ac:dyDescent="0.2">
      <c r="A5" s="1">
        <v>10</v>
      </c>
      <c r="B5" s="1">
        <v>62.64</v>
      </c>
      <c r="C5" s="2">
        <v>62.24</v>
      </c>
      <c r="D5" s="1">
        <f>C5-14.61</f>
        <v>47.63</v>
      </c>
      <c r="E5" s="1">
        <f t="shared" si="1"/>
        <v>1.1947670019999999E-2</v>
      </c>
      <c r="O5" s="1">
        <v>11947670.02</v>
      </c>
      <c r="P5">
        <f t="shared" si="2"/>
        <v>1.1947670019999999E-2</v>
      </c>
    </row>
    <row r="6" spans="1:16" x14ac:dyDescent="0.2">
      <c r="A6" s="1">
        <v>12.5</v>
      </c>
      <c r="B6" s="1">
        <v>0</v>
      </c>
      <c r="C6" s="2">
        <v>0</v>
      </c>
      <c r="D6" s="1">
        <f t="shared" ref="D6:D69" si="3">C6-14.61</f>
        <v>-14.61</v>
      </c>
      <c r="E6" s="1">
        <f t="shared" si="1"/>
        <v>0</v>
      </c>
      <c r="O6" s="1">
        <v>0</v>
      </c>
      <c r="P6">
        <f t="shared" si="2"/>
        <v>0</v>
      </c>
    </row>
    <row r="7" spans="1:16" x14ac:dyDescent="0.2">
      <c r="A7" s="1">
        <v>15</v>
      </c>
      <c r="B7" s="1">
        <v>0</v>
      </c>
      <c r="C7" s="2">
        <v>0</v>
      </c>
      <c r="D7" s="1">
        <f t="shared" si="3"/>
        <v>-14.61</v>
      </c>
      <c r="E7" s="1">
        <f t="shared" si="1"/>
        <v>0</v>
      </c>
      <c r="O7" s="1">
        <v>0</v>
      </c>
      <c r="P7">
        <f t="shared" si="2"/>
        <v>0</v>
      </c>
    </row>
    <row r="8" spans="1:16" x14ac:dyDescent="0.2">
      <c r="A8" s="1">
        <v>17.5</v>
      </c>
      <c r="B8" s="1">
        <v>0</v>
      </c>
      <c r="C8" s="2">
        <v>0</v>
      </c>
      <c r="D8" s="1">
        <f t="shared" si="3"/>
        <v>-14.61</v>
      </c>
      <c r="E8" s="1">
        <f t="shared" si="1"/>
        <v>0</v>
      </c>
      <c r="O8" s="1">
        <v>0</v>
      </c>
      <c r="P8">
        <f t="shared" si="2"/>
        <v>0</v>
      </c>
    </row>
    <row r="9" spans="1:16" x14ac:dyDescent="0.2">
      <c r="A9" s="1">
        <v>20</v>
      </c>
      <c r="B9" s="1">
        <v>61.99</v>
      </c>
      <c r="C9" s="2">
        <v>72.89</v>
      </c>
      <c r="D9" s="1">
        <f t="shared" si="3"/>
        <v>58.28</v>
      </c>
      <c r="E9" s="1">
        <f t="shared" si="1"/>
        <v>1.167719484E-2</v>
      </c>
      <c r="O9" s="1">
        <v>11677194.84</v>
      </c>
      <c r="P9">
        <f t="shared" si="2"/>
        <v>1.167719484E-2</v>
      </c>
    </row>
    <row r="10" spans="1:16" x14ac:dyDescent="0.2">
      <c r="A10" s="1">
        <v>22.5</v>
      </c>
      <c r="B10" s="1">
        <v>0</v>
      </c>
      <c r="C10" s="2">
        <v>0</v>
      </c>
      <c r="D10" s="1">
        <f t="shared" si="3"/>
        <v>-14.61</v>
      </c>
      <c r="E10" s="1">
        <f t="shared" si="1"/>
        <v>0</v>
      </c>
      <c r="O10" s="1">
        <v>0</v>
      </c>
      <c r="P10">
        <f t="shared" si="2"/>
        <v>0</v>
      </c>
    </row>
    <row r="11" spans="1:16" x14ac:dyDescent="0.2">
      <c r="A11" s="1">
        <v>25</v>
      </c>
      <c r="B11" s="1">
        <v>0</v>
      </c>
      <c r="C11" s="2">
        <v>0</v>
      </c>
      <c r="D11" s="1">
        <f t="shared" si="3"/>
        <v>-14.61</v>
      </c>
      <c r="E11" s="1">
        <f t="shared" si="1"/>
        <v>0</v>
      </c>
      <c r="O11" s="1">
        <v>0</v>
      </c>
      <c r="P11">
        <f t="shared" si="2"/>
        <v>0</v>
      </c>
    </row>
    <row r="12" spans="1:16" x14ac:dyDescent="0.2">
      <c r="A12" s="1">
        <v>27.5</v>
      </c>
      <c r="B12" s="1">
        <v>0</v>
      </c>
      <c r="C12" s="2">
        <v>0</v>
      </c>
      <c r="D12" s="1">
        <f t="shared" si="3"/>
        <v>-14.61</v>
      </c>
      <c r="E12" s="1">
        <f t="shared" si="1"/>
        <v>0</v>
      </c>
      <c r="O12" s="1">
        <v>0</v>
      </c>
      <c r="P12">
        <f t="shared" si="2"/>
        <v>0</v>
      </c>
    </row>
    <row r="13" spans="1:16" x14ac:dyDescent="0.2">
      <c r="A13" s="1">
        <v>30</v>
      </c>
      <c r="B13" s="1">
        <v>62.15</v>
      </c>
      <c r="C13" s="2">
        <v>82.73</v>
      </c>
      <c r="D13" s="1">
        <f t="shared" si="3"/>
        <v>68.12</v>
      </c>
      <c r="E13" s="1">
        <f t="shared" si="1"/>
        <v>1.171782627E-2</v>
      </c>
      <c r="O13" s="1">
        <v>11717826.27</v>
      </c>
      <c r="P13">
        <f t="shared" si="2"/>
        <v>1.171782627E-2</v>
      </c>
    </row>
    <row r="14" spans="1:16" x14ac:dyDescent="0.2">
      <c r="A14" s="1">
        <v>32.5</v>
      </c>
      <c r="B14" s="1">
        <v>0</v>
      </c>
      <c r="C14" s="2">
        <v>0</v>
      </c>
      <c r="D14" s="1">
        <f t="shared" si="3"/>
        <v>-14.61</v>
      </c>
      <c r="E14" s="1">
        <f t="shared" si="1"/>
        <v>0</v>
      </c>
      <c r="O14" s="1">
        <v>0</v>
      </c>
      <c r="P14">
        <f t="shared" si="2"/>
        <v>0</v>
      </c>
    </row>
    <row r="15" spans="1:16" x14ac:dyDescent="0.2">
      <c r="A15" s="1">
        <v>35</v>
      </c>
      <c r="B15" s="1">
        <v>0</v>
      </c>
      <c r="C15" s="2">
        <v>0</v>
      </c>
      <c r="D15" s="1">
        <f t="shared" si="3"/>
        <v>-14.61</v>
      </c>
      <c r="E15" s="1">
        <f t="shared" si="1"/>
        <v>0</v>
      </c>
      <c r="O15" s="1">
        <v>0</v>
      </c>
      <c r="P15">
        <f t="shared" si="2"/>
        <v>0</v>
      </c>
    </row>
    <row r="16" spans="1:16" x14ac:dyDescent="0.2">
      <c r="A16" s="1">
        <v>37.5</v>
      </c>
      <c r="B16" s="1">
        <v>0</v>
      </c>
      <c r="C16" s="2">
        <v>0</v>
      </c>
      <c r="D16" s="1">
        <f t="shared" si="3"/>
        <v>-14.61</v>
      </c>
      <c r="E16" s="1">
        <f t="shared" si="1"/>
        <v>0</v>
      </c>
      <c r="O16" s="1">
        <v>0</v>
      </c>
      <c r="P16">
        <f t="shared" si="2"/>
        <v>0</v>
      </c>
    </row>
    <row r="17" spans="1:16" x14ac:dyDescent="0.2">
      <c r="A17" s="1">
        <v>40</v>
      </c>
      <c r="B17" s="1">
        <v>62.82</v>
      </c>
      <c r="C17" s="2">
        <v>92.06</v>
      </c>
      <c r="D17" s="1">
        <f t="shared" si="3"/>
        <v>77.45</v>
      </c>
      <c r="E17" s="1">
        <f t="shared" si="1"/>
        <v>1.1961002050000001E-2</v>
      </c>
      <c r="O17" s="1">
        <v>11961002.050000001</v>
      </c>
      <c r="P17">
        <f t="shared" si="2"/>
        <v>1.1961002050000001E-2</v>
      </c>
    </row>
    <row r="18" spans="1:16" x14ac:dyDescent="0.2">
      <c r="A18" s="1">
        <v>42.5</v>
      </c>
      <c r="B18" s="1">
        <v>0</v>
      </c>
      <c r="C18" s="2">
        <v>0</v>
      </c>
      <c r="D18" s="1">
        <f t="shared" si="3"/>
        <v>-14.61</v>
      </c>
      <c r="E18" s="1">
        <f t="shared" si="1"/>
        <v>0</v>
      </c>
      <c r="O18" s="1">
        <v>0</v>
      </c>
      <c r="P18">
        <f t="shared" si="2"/>
        <v>0</v>
      </c>
    </row>
    <row r="19" spans="1:16" x14ac:dyDescent="0.2">
      <c r="A19" s="1">
        <v>45</v>
      </c>
      <c r="B19" s="1">
        <v>0</v>
      </c>
      <c r="C19" s="2">
        <v>0</v>
      </c>
      <c r="D19" s="1">
        <f t="shared" si="3"/>
        <v>-14.61</v>
      </c>
      <c r="E19" s="1">
        <f t="shared" si="1"/>
        <v>0</v>
      </c>
      <c r="O19" s="1">
        <v>0</v>
      </c>
      <c r="P19">
        <f t="shared" si="2"/>
        <v>0</v>
      </c>
    </row>
    <row r="20" spans="1:16" x14ac:dyDescent="0.2">
      <c r="A20" s="1">
        <v>47.5</v>
      </c>
      <c r="B20" s="1">
        <v>0</v>
      </c>
      <c r="C20" s="2">
        <v>0</v>
      </c>
      <c r="D20" s="1">
        <f t="shared" si="3"/>
        <v>-14.61</v>
      </c>
      <c r="E20" s="1">
        <f t="shared" si="1"/>
        <v>0</v>
      </c>
      <c r="O20" s="1">
        <v>0</v>
      </c>
      <c r="P20">
        <f t="shared" si="2"/>
        <v>0</v>
      </c>
    </row>
    <row r="21" spans="1:16" x14ac:dyDescent="0.2">
      <c r="A21" s="1">
        <v>50</v>
      </c>
      <c r="B21" s="1">
        <v>63.87</v>
      </c>
      <c r="C21" s="2">
        <v>101.01</v>
      </c>
      <c r="D21" s="1">
        <f t="shared" si="3"/>
        <v>86.4</v>
      </c>
      <c r="E21" s="1">
        <f t="shared" si="1"/>
        <v>1.2351877789999998E-2</v>
      </c>
      <c r="O21" s="1">
        <v>12351877.789999999</v>
      </c>
      <c r="P21">
        <f t="shared" si="2"/>
        <v>1.2351877789999998E-2</v>
      </c>
    </row>
    <row r="22" spans="1:16" x14ac:dyDescent="0.2">
      <c r="A22" s="1">
        <v>52.5</v>
      </c>
      <c r="B22" s="1">
        <v>0</v>
      </c>
      <c r="C22" s="2">
        <v>0</v>
      </c>
      <c r="D22" s="1">
        <f t="shared" si="3"/>
        <v>-14.61</v>
      </c>
      <c r="E22" s="1">
        <f t="shared" si="1"/>
        <v>0</v>
      </c>
      <c r="O22" s="1">
        <v>0</v>
      </c>
      <c r="P22">
        <f t="shared" si="2"/>
        <v>0</v>
      </c>
    </row>
    <row r="23" spans="1:16" x14ac:dyDescent="0.2">
      <c r="A23" s="1">
        <v>55</v>
      </c>
      <c r="B23" s="1">
        <v>0</v>
      </c>
      <c r="C23" s="2">
        <v>0</v>
      </c>
      <c r="D23" s="1">
        <f t="shared" si="3"/>
        <v>-14.61</v>
      </c>
      <c r="E23" s="1">
        <f t="shared" si="1"/>
        <v>0</v>
      </c>
      <c r="O23" s="1">
        <v>0</v>
      </c>
      <c r="P23">
        <f t="shared" si="2"/>
        <v>0</v>
      </c>
    </row>
    <row r="24" spans="1:16" x14ac:dyDescent="0.2">
      <c r="A24" s="1">
        <v>57.5</v>
      </c>
      <c r="B24" s="1">
        <v>0</v>
      </c>
      <c r="C24" s="2">
        <v>0</v>
      </c>
      <c r="D24" s="1">
        <f t="shared" si="3"/>
        <v>-14.61</v>
      </c>
      <c r="E24" s="1">
        <f t="shared" si="1"/>
        <v>0</v>
      </c>
      <c r="O24" s="1">
        <v>0</v>
      </c>
      <c r="P24">
        <f t="shared" si="2"/>
        <v>0</v>
      </c>
    </row>
    <row r="25" spans="1:16" x14ac:dyDescent="0.2">
      <c r="A25" s="1">
        <v>60</v>
      </c>
      <c r="B25" s="1">
        <v>65.180000000000007</v>
      </c>
      <c r="C25" s="2">
        <v>109.7</v>
      </c>
      <c r="D25" s="1">
        <f t="shared" si="3"/>
        <v>95.09</v>
      </c>
      <c r="E25" s="1">
        <f t="shared" si="1"/>
        <v>1.2858894550000001E-2</v>
      </c>
      <c r="O25" s="1">
        <v>12858894.550000001</v>
      </c>
      <c r="P25">
        <f t="shared" si="2"/>
        <v>1.2858894550000001E-2</v>
      </c>
    </row>
    <row r="26" spans="1:16" x14ac:dyDescent="0.2">
      <c r="A26" s="1">
        <v>62.5</v>
      </c>
      <c r="B26" s="1">
        <v>0</v>
      </c>
      <c r="C26" s="2">
        <v>0</v>
      </c>
      <c r="D26" s="1">
        <f t="shared" si="3"/>
        <v>-14.61</v>
      </c>
      <c r="E26" s="1">
        <f t="shared" si="1"/>
        <v>0</v>
      </c>
      <c r="O26" s="1">
        <v>0</v>
      </c>
      <c r="P26">
        <f t="shared" si="2"/>
        <v>0</v>
      </c>
    </row>
    <row r="27" spans="1:16" x14ac:dyDescent="0.2">
      <c r="A27" s="1">
        <v>65</v>
      </c>
      <c r="B27" s="1">
        <v>0</v>
      </c>
      <c r="C27" s="2">
        <v>0</v>
      </c>
      <c r="D27" s="1">
        <f t="shared" si="3"/>
        <v>-14.61</v>
      </c>
      <c r="E27" s="1">
        <f t="shared" si="1"/>
        <v>0</v>
      </c>
      <c r="O27" s="1">
        <v>0</v>
      </c>
      <c r="P27">
        <f t="shared" si="2"/>
        <v>0</v>
      </c>
    </row>
    <row r="28" spans="1:16" x14ac:dyDescent="0.2">
      <c r="A28" s="1">
        <v>67.5</v>
      </c>
      <c r="B28" s="1">
        <v>0</v>
      </c>
      <c r="C28" s="2">
        <v>0</v>
      </c>
      <c r="D28" s="1">
        <f t="shared" si="3"/>
        <v>-14.61</v>
      </c>
      <c r="E28" s="1">
        <f t="shared" si="1"/>
        <v>0</v>
      </c>
      <c r="O28" s="1">
        <v>0</v>
      </c>
      <c r="P28">
        <f t="shared" si="2"/>
        <v>0</v>
      </c>
    </row>
    <row r="29" spans="1:16" x14ac:dyDescent="0.2">
      <c r="A29" s="1">
        <v>70</v>
      </c>
      <c r="B29" s="1">
        <v>66.72</v>
      </c>
      <c r="C29" s="2">
        <v>118.16</v>
      </c>
      <c r="D29" s="1">
        <f t="shared" si="3"/>
        <v>103.55</v>
      </c>
      <c r="E29" s="1">
        <f t="shared" si="1"/>
        <v>1.3462361189999999E-2</v>
      </c>
      <c r="O29" s="1">
        <v>13462361.189999999</v>
      </c>
      <c r="P29">
        <f t="shared" si="2"/>
        <v>1.3462361189999999E-2</v>
      </c>
    </row>
    <row r="30" spans="1:16" x14ac:dyDescent="0.2">
      <c r="A30" s="1">
        <v>72.5</v>
      </c>
      <c r="B30" s="1">
        <v>0</v>
      </c>
      <c r="C30" s="2">
        <v>0</v>
      </c>
      <c r="D30" s="1">
        <f t="shared" si="3"/>
        <v>-14.61</v>
      </c>
      <c r="E30" s="1">
        <f t="shared" si="1"/>
        <v>0</v>
      </c>
      <c r="O30" s="1">
        <v>0</v>
      </c>
      <c r="P30">
        <f t="shared" si="2"/>
        <v>0</v>
      </c>
    </row>
    <row r="31" spans="1:16" x14ac:dyDescent="0.2">
      <c r="A31" s="1">
        <v>75</v>
      </c>
      <c r="B31" s="1">
        <v>0</v>
      </c>
      <c r="C31" s="2">
        <v>0</v>
      </c>
      <c r="D31" s="1">
        <f t="shared" si="3"/>
        <v>-14.61</v>
      </c>
      <c r="E31" s="1">
        <f t="shared" si="1"/>
        <v>0</v>
      </c>
      <c r="O31" s="1">
        <v>0</v>
      </c>
      <c r="P31">
        <f t="shared" si="2"/>
        <v>0</v>
      </c>
    </row>
    <row r="32" spans="1:16" x14ac:dyDescent="0.2">
      <c r="A32" s="1">
        <v>77.5</v>
      </c>
      <c r="B32" s="1">
        <v>0</v>
      </c>
      <c r="C32" s="2">
        <v>0</v>
      </c>
      <c r="D32" s="1">
        <f t="shared" si="3"/>
        <v>-14.61</v>
      </c>
      <c r="E32" s="1">
        <f t="shared" si="1"/>
        <v>0</v>
      </c>
      <c r="O32" s="1">
        <v>0</v>
      </c>
      <c r="P32">
        <f t="shared" si="2"/>
        <v>0</v>
      </c>
    </row>
    <row r="33" spans="1:16" x14ac:dyDescent="0.2">
      <c r="A33" s="1">
        <v>80</v>
      </c>
      <c r="B33" s="1">
        <v>68.42</v>
      </c>
      <c r="C33" s="2">
        <v>126.46</v>
      </c>
      <c r="D33" s="1">
        <f t="shared" si="3"/>
        <v>111.85</v>
      </c>
      <c r="E33" s="1">
        <f t="shared" si="1"/>
        <v>1.414928551E-2</v>
      </c>
      <c r="O33" s="1">
        <v>14149285.51</v>
      </c>
      <c r="P33">
        <f t="shared" si="2"/>
        <v>1.414928551E-2</v>
      </c>
    </row>
    <row r="34" spans="1:16" x14ac:dyDescent="0.2">
      <c r="A34" s="1">
        <v>82.5</v>
      </c>
      <c r="B34" s="1">
        <v>0</v>
      </c>
      <c r="C34" s="2">
        <v>0</v>
      </c>
      <c r="D34" s="1">
        <f t="shared" si="3"/>
        <v>-14.61</v>
      </c>
      <c r="E34" s="1">
        <f t="shared" si="1"/>
        <v>0</v>
      </c>
      <c r="O34" s="1">
        <v>0</v>
      </c>
      <c r="P34">
        <f t="shared" si="2"/>
        <v>0</v>
      </c>
    </row>
    <row r="35" spans="1:16" x14ac:dyDescent="0.2">
      <c r="A35" s="1">
        <v>85</v>
      </c>
      <c r="B35" s="1">
        <v>0</v>
      </c>
      <c r="C35" s="2">
        <v>0</v>
      </c>
      <c r="D35" s="1">
        <f t="shared" si="3"/>
        <v>-14.61</v>
      </c>
      <c r="E35" s="1">
        <f t="shared" si="1"/>
        <v>0</v>
      </c>
      <c r="O35" s="1">
        <v>0</v>
      </c>
      <c r="P35">
        <f t="shared" si="2"/>
        <v>0</v>
      </c>
    </row>
    <row r="36" spans="1:16" x14ac:dyDescent="0.2">
      <c r="A36" s="1">
        <v>87.5</v>
      </c>
      <c r="B36" s="1">
        <v>0</v>
      </c>
      <c r="C36" s="2">
        <v>0</v>
      </c>
      <c r="D36" s="1">
        <f t="shared" si="3"/>
        <v>-14.61</v>
      </c>
      <c r="E36" s="1">
        <f t="shared" si="1"/>
        <v>0</v>
      </c>
      <c r="O36" s="1">
        <v>0</v>
      </c>
      <c r="P36">
        <f t="shared" si="2"/>
        <v>0</v>
      </c>
    </row>
    <row r="37" spans="1:16" x14ac:dyDescent="0.2">
      <c r="A37" s="1">
        <v>90</v>
      </c>
      <c r="B37" s="1">
        <v>70.260000000000005</v>
      </c>
      <c r="C37" s="2">
        <v>134.62</v>
      </c>
      <c r="D37" s="1">
        <f t="shared" si="3"/>
        <v>120.01</v>
      </c>
      <c r="E37" s="1">
        <f t="shared" si="1"/>
        <v>1.4910736619999998E-2</v>
      </c>
      <c r="O37" s="1">
        <v>14910736.619999999</v>
      </c>
      <c r="P37">
        <f t="shared" si="2"/>
        <v>1.4910736619999998E-2</v>
      </c>
    </row>
    <row r="38" spans="1:16" x14ac:dyDescent="0.2">
      <c r="A38" s="1">
        <v>92.5</v>
      </c>
      <c r="B38" s="1">
        <v>0</v>
      </c>
      <c r="C38" s="2">
        <v>0</v>
      </c>
      <c r="D38" s="1">
        <f t="shared" si="3"/>
        <v>-14.61</v>
      </c>
      <c r="E38" s="1">
        <f t="shared" si="1"/>
        <v>0</v>
      </c>
      <c r="O38" s="1">
        <v>0</v>
      </c>
      <c r="P38">
        <f t="shared" si="2"/>
        <v>0</v>
      </c>
    </row>
    <row r="39" spans="1:16" x14ac:dyDescent="0.2">
      <c r="A39" s="1">
        <v>95</v>
      </c>
      <c r="B39" s="1">
        <v>0</v>
      </c>
      <c r="C39" s="2">
        <v>0</v>
      </c>
      <c r="D39" s="1">
        <f t="shared" si="3"/>
        <v>-14.61</v>
      </c>
      <c r="E39" s="1">
        <f t="shared" si="1"/>
        <v>0</v>
      </c>
      <c r="O39" s="1">
        <v>0</v>
      </c>
      <c r="P39">
        <f t="shared" si="2"/>
        <v>0</v>
      </c>
    </row>
    <row r="40" spans="1:16" x14ac:dyDescent="0.2">
      <c r="A40" s="1">
        <v>97.5</v>
      </c>
      <c r="B40" s="1">
        <v>0</v>
      </c>
      <c r="C40" s="2">
        <v>0</v>
      </c>
      <c r="D40" s="1">
        <f t="shared" si="3"/>
        <v>-14.61</v>
      </c>
      <c r="E40" s="1">
        <f t="shared" si="1"/>
        <v>0</v>
      </c>
      <c r="O40" s="1">
        <v>0</v>
      </c>
      <c r="P40">
        <f t="shared" si="2"/>
        <v>0</v>
      </c>
    </row>
    <row r="41" spans="1:16" x14ac:dyDescent="0.2">
      <c r="A41" s="1">
        <v>100</v>
      </c>
      <c r="B41" s="1">
        <v>72.22</v>
      </c>
      <c r="C41" s="2">
        <v>142.66</v>
      </c>
      <c r="D41" s="1">
        <f t="shared" si="3"/>
        <v>128.05000000000001</v>
      </c>
      <c r="E41" s="1">
        <f t="shared" si="1"/>
        <v>1.5740380929999999E-2</v>
      </c>
      <c r="O41" s="1">
        <v>15740380.93</v>
      </c>
      <c r="P41">
        <f t="shared" si="2"/>
        <v>1.5740380929999999E-2</v>
      </c>
    </row>
    <row r="42" spans="1:16" x14ac:dyDescent="0.2">
      <c r="A42" s="1">
        <v>102.5</v>
      </c>
      <c r="B42" s="1">
        <v>0</v>
      </c>
      <c r="C42" s="2">
        <v>0</v>
      </c>
      <c r="D42" s="1">
        <f t="shared" si="3"/>
        <v>-14.61</v>
      </c>
      <c r="E42" s="1">
        <f t="shared" si="1"/>
        <v>0</v>
      </c>
      <c r="O42" s="1">
        <v>0</v>
      </c>
      <c r="P42">
        <f t="shared" si="2"/>
        <v>0</v>
      </c>
    </row>
    <row r="43" spans="1:16" x14ac:dyDescent="0.2">
      <c r="A43" s="1">
        <v>105</v>
      </c>
      <c r="B43" s="1">
        <v>0</v>
      </c>
      <c r="C43" s="2">
        <v>0</v>
      </c>
      <c r="D43" s="1">
        <f t="shared" si="3"/>
        <v>-14.61</v>
      </c>
      <c r="E43" s="1">
        <f t="shared" si="1"/>
        <v>0</v>
      </c>
      <c r="O43" s="1">
        <v>0</v>
      </c>
      <c r="P43">
        <f t="shared" si="2"/>
        <v>0</v>
      </c>
    </row>
    <row r="44" spans="1:16" x14ac:dyDescent="0.2">
      <c r="A44" s="1">
        <v>107.5</v>
      </c>
      <c r="B44" s="1">
        <v>0</v>
      </c>
      <c r="C44" s="2">
        <v>0</v>
      </c>
      <c r="D44" s="1">
        <f t="shared" si="3"/>
        <v>-14.61</v>
      </c>
      <c r="E44" s="1">
        <f t="shared" si="1"/>
        <v>0</v>
      </c>
      <c r="O44" s="1">
        <v>0</v>
      </c>
      <c r="P44">
        <f t="shared" si="2"/>
        <v>0</v>
      </c>
    </row>
    <row r="45" spans="1:16" x14ac:dyDescent="0.2">
      <c r="A45" s="1">
        <v>110</v>
      </c>
      <c r="B45" s="1">
        <v>74.290000000000006</v>
      </c>
      <c r="C45" s="2">
        <v>150.59</v>
      </c>
      <c r="D45" s="1">
        <f t="shared" si="3"/>
        <v>135.98000000000002</v>
      </c>
      <c r="E45" s="1">
        <f t="shared" si="1"/>
        <v>1.6633616560000002E-2</v>
      </c>
      <c r="O45" s="1">
        <v>16633616.560000001</v>
      </c>
      <c r="P45">
        <f t="shared" si="2"/>
        <v>1.6633616560000002E-2</v>
      </c>
    </row>
    <row r="46" spans="1:16" x14ac:dyDescent="0.2">
      <c r="A46" s="1">
        <v>112.5</v>
      </c>
      <c r="B46" s="1">
        <v>0</v>
      </c>
      <c r="C46" s="2">
        <v>0</v>
      </c>
      <c r="D46" s="1">
        <f t="shared" si="3"/>
        <v>-14.61</v>
      </c>
      <c r="E46" s="1">
        <f t="shared" si="1"/>
        <v>0</v>
      </c>
      <c r="O46" s="1">
        <v>0</v>
      </c>
      <c r="P46">
        <f t="shared" si="2"/>
        <v>0</v>
      </c>
    </row>
    <row r="47" spans="1:16" x14ac:dyDescent="0.2">
      <c r="A47" s="1">
        <v>115</v>
      </c>
      <c r="B47" s="1">
        <v>0</v>
      </c>
      <c r="C47" s="2">
        <v>0</v>
      </c>
      <c r="D47" s="1">
        <f t="shared" si="3"/>
        <v>-14.61</v>
      </c>
      <c r="E47" s="1">
        <f t="shared" si="1"/>
        <v>0</v>
      </c>
      <c r="O47" s="1">
        <v>0</v>
      </c>
      <c r="P47">
        <f t="shared" si="2"/>
        <v>0</v>
      </c>
    </row>
    <row r="48" spans="1:16" x14ac:dyDescent="0.2">
      <c r="A48" s="1">
        <v>117.5</v>
      </c>
      <c r="B48" s="1">
        <v>0</v>
      </c>
      <c r="C48" s="2">
        <v>0</v>
      </c>
      <c r="D48" s="1">
        <f t="shared" si="3"/>
        <v>-14.61</v>
      </c>
      <c r="E48" s="1">
        <f t="shared" si="1"/>
        <v>0</v>
      </c>
      <c r="O48" s="1">
        <v>0</v>
      </c>
      <c r="P48">
        <f t="shared" si="2"/>
        <v>0</v>
      </c>
    </row>
    <row r="49" spans="1:16" x14ac:dyDescent="0.2">
      <c r="A49" s="1">
        <v>120</v>
      </c>
      <c r="B49" s="1">
        <v>76.430000000000007</v>
      </c>
      <c r="C49" s="2">
        <v>158.44999999999999</v>
      </c>
      <c r="D49" s="1">
        <f t="shared" si="3"/>
        <v>143.83999999999997</v>
      </c>
      <c r="E49" s="1">
        <f t="shared" si="1"/>
        <v>1.7587029809999998E-2</v>
      </c>
      <c r="O49" s="1">
        <v>17587029.809999999</v>
      </c>
      <c r="P49">
        <f t="shared" si="2"/>
        <v>1.7587029809999998E-2</v>
      </c>
    </row>
    <row r="50" spans="1:16" x14ac:dyDescent="0.2">
      <c r="A50" s="1">
        <v>122.5</v>
      </c>
      <c r="B50" s="1">
        <v>0</v>
      </c>
      <c r="C50" s="2">
        <v>0</v>
      </c>
      <c r="D50" s="1">
        <f t="shared" si="3"/>
        <v>-14.61</v>
      </c>
      <c r="E50" s="1">
        <f t="shared" si="1"/>
        <v>0</v>
      </c>
      <c r="O50" s="1">
        <v>0</v>
      </c>
      <c r="P50">
        <f t="shared" si="2"/>
        <v>0</v>
      </c>
    </row>
    <row r="51" spans="1:16" x14ac:dyDescent="0.2">
      <c r="A51" s="1">
        <v>125</v>
      </c>
      <c r="B51" s="1">
        <v>0</v>
      </c>
      <c r="C51" s="2">
        <v>0</v>
      </c>
      <c r="D51" s="1">
        <f t="shared" si="3"/>
        <v>-14.61</v>
      </c>
      <c r="E51" s="1">
        <f t="shared" si="1"/>
        <v>0</v>
      </c>
      <c r="O51" s="1">
        <v>0</v>
      </c>
      <c r="P51">
        <f t="shared" si="2"/>
        <v>0</v>
      </c>
    </row>
    <row r="52" spans="1:16" x14ac:dyDescent="0.2">
      <c r="A52" s="1">
        <v>127.5</v>
      </c>
      <c r="B52" s="1">
        <v>0</v>
      </c>
      <c r="C52" s="2">
        <v>0</v>
      </c>
      <c r="D52" s="1">
        <f t="shared" si="3"/>
        <v>-14.61</v>
      </c>
      <c r="E52" s="1">
        <f t="shared" si="1"/>
        <v>0</v>
      </c>
      <c r="O52" s="1">
        <v>0</v>
      </c>
      <c r="P52">
        <f t="shared" si="2"/>
        <v>0</v>
      </c>
    </row>
    <row r="53" spans="1:16" x14ac:dyDescent="0.2">
      <c r="A53" s="1">
        <v>130</v>
      </c>
      <c r="B53" s="1">
        <v>78.650000000000006</v>
      </c>
      <c r="C53" s="2">
        <v>166.23</v>
      </c>
      <c r="D53" s="1">
        <f t="shared" si="3"/>
        <v>151.62</v>
      </c>
      <c r="E53" s="1">
        <f t="shared" si="1"/>
        <v>1.8597916749999999E-2</v>
      </c>
      <c r="O53" s="1">
        <v>18597916.75</v>
      </c>
      <c r="P53">
        <f t="shared" si="2"/>
        <v>1.8597916749999999E-2</v>
      </c>
    </row>
    <row r="54" spans="1:16" x14ac:dyDescent="0.2">
      <c r="A54" s="1">
        <v>132.5</v>
      </c>
      <c r="B54" s="1">
        <v>0</v>
      </c>
      <c r="C54" s="2">
        <v>0</v>
      </c>
      <c r="D54" s="1">
        <f t="shared" si="3"/>
        <v>-14.61</v>
      </c>
      <c r="E54" s="1">
        <f t="shared" si="1"/>
        <v>0</v>
      </c>
      <c r="O54" s="1">
        <v>0</v>
      </c>
      <c r="P54">
        <f t="shared" si="2"/>
        <v>0</v>
      </c>
    </row>
    <row r="55" spans="1:16" x14ac:dyDescent="0.2">
      <c r="A55" s="1">
        <v>135</v>
      </c>
      <c r="B55" s="1">
        <v>0</v>
      </c>
      <c r="C55" s="2">
        <v>0</v>
      </c>
      <c r="D55" s="1">
        <f t="shared" si="3"/>
        <v>-14.61</v>
      </c>
      <c r="E55" s="1">
        <f t="shared" si="1"/>
        <v>0</v>
      </c>
      <c r="O55" s="1">
        <v>0</v>
      </c>
      <c r="P55">
        <f t="shared" si="2"/>
        <v>0</v>
      </c>
    </row>
    <row r="56" spans="1:16" x14ac:dyDescent="0.2">
      <c r="A56" s="1">
        <v>137.5</v>
      </c>
      <c r="B56" s="1">
        <v>0</v>
      </c>
      <c r="C56" s="2">
        <v>0</v>
      </c>
      <c r="D56" s="1">
        <f t="shared" si="3"/>
        <v>-14.61</v>
      </c>
      <c r="E56" s="1">
        <f t="shared" si="1"/>
        <v>0</v>
      </c>
      <c r="O56" s="1">
        <v>0</v>
      </c>
      <c r="P56">
        <f t="shared" si="2"/>
        <v>0</v>
      </c>
    </row>
    <row r="57" spans="1:16" x14ac:dyDescent="0.2">
      <c r="A57" s="1">
        <v>140</v>
      </c>
      <c r="B57" s="1">
        <v>80.94</v>
      </c>
      <c r="C57" s="2">
        <v>173.94</v>
      </c>
      <c r="D57" s="1">
        <f t="shared" si="3"/>
        <v>159.32999999999998</v>
      </c>
      <c r="E57" s="1">
        <f t="shared" si="1"/>
        <v>1.872640259E-2</v>
      </c>
      <c r="O57" s="1">
        <v>18726402.59</v>
      </c>
      <c r="P57">
        <f t="shared" si="2"/>
        <v>1.872640259E-2</v>
      </c>
    </row>
    <row r="58" spans="1:16" x14ac:dyDescent="0.2">
      <c r="A58" s="1">
        <v>142.5</v>
      </c>
      <c r="B58" s="1">
        <v>0</v>
      </c>
      <c r="C58" s="2">
        <v>0</v>
      </c>
      <c r="D58" s="1">
        <f t="shared" si="3"/>
        <v>-14.61</v>
      </c>
      <c r="E58" s="1">
        <f t="shared" si="1"/>
        <v>0</v>
      </c>
      <c r="O58" s="1">
        <v>0</v>
      </c>
      <c r="P58">
        <f t="shared" si="2"/>
        <v>0</v>
      </c>
    </row>
    <row r="59" spans="1:16" x14ac:dyDescent="0.2">
      <c r="A59" s="1">
        <v>145</v>
      </c>
      <c r="B59" s="1">
        <v>0</v>
      </c>
      <c r="C59" s="2">
        <v>0</v>
      </c>
      <c r="D59" s="1">
        <f t="shared" si="3"/>
        <v>-14.61</v>
      </c>
      <c r="E59" s="1">
        <f t="shared" si="1"/>
        <v>0</v>
      </c>
      <c r="O59" s="1">
        <v>0</v>
      </c>
      <c r="P59">
        <f t="shared" si="2"/>
        <v>0</v>
      </c>
    </row>
    <row r="60" spans="1:16" x14ac:dyDescent="0.2">
      <c r="A60" s="1">
        <v>147.5</v>
      </c>
      <c r="B60" s="1">
        <v>0</v>
      </c>
      <c r="C60" s="2">
        <v>0</v>
      </c>
      <c r="D60" s="1">
        <f t="shared" si="3"/>
        <v>-14.61</v>
      </c>
      <c r="E60" s="1">
        <f t="shared" si="1"/>
        <v>0</v>
      </c>
      <c r="O60" s="1">
        <v>0</v>
      </c>
      <c r="P60">
        <f t="shared" si="2"/>
        <v>0</v>
      </c>
    </row>
    <row r="61" spans="1:16" x14ac:dyDescent="0.2">
      <c r="A61" s="1">
        <v>150</v>
      </c>
      <c r="B61" s="1">
        <v>83.29</v>
      </c>
      <c r="C61" s="2">
        <v>181.59</v>
      </c>
      <c r="D61" s="1">
        <f t="shared" si="3"/>
        <v>166.98000000000002</v>
      </c>
      <c r="E61" s="1">
        <f t="shared" si="1"/>
        <v>1.8206083289999998E-2</v>
      </c>
      <c r="O61" s="1">
        <v>18206083.289999999</v>
      </c>
      <c r="P61">
        <f t="shared" si="2"/>
        <v>1.8206083289999998E-2</v>
      </c>
    </row>
    <row r="62" spans="1:16" x14ac:dyDescent="0.2">
      <c r="A62" s="1">
        <v>152.5</v>
      </c>
      <c r="B62" s="1">
        <v>0</v>
      </c>
      <c r="C62" s="2">
        <v>0</v>
      </c>
      <c r="D62" s="1">
        <f t="shared" si="3"/>
        <v>-14.61</v>
      </c>
      <c r="E62" s="1">
        <f t="shared" si="1"/>
        <v>0</v>
      </c>
      <c r="O62" s="1">
        <v>0</v>
      </c>
      <c r="P62">
        <f t="shared" si="2"/>
        <v>0</v>
      </c>
    </row>
    <row r="63" spans="1:16" x14ac:dyDescent="0.2">
      <c r="A63" s="1">
        <v>155</v>
      </c>
      <c r="B63" s="1">
        <v>0</v>
      </c>
      <c r="C63" s="2">
        <v>0</v>
      </c>
      <c r="D63" s="1">
        <f t="shared" si="3"/>
        <v>-14.61</v>
      </c>
      <c r="E63" s="1">
        <f t="shared" si="1"/>
        <v>0</v>
      </c>
      <c r="O63" s="1">
        <v>0</v>
      </c>
      <c r="P63">
        <f t="shared" si="2"/>
        <v>0</v>
      </c>
    </row>
    <row r="64" spans="1:16" x14ac:dyDescent="0.2">
      <c r="A64" s="1">
        <v>157.5</v>
      </c>
      <c r="B64" s="1">
        <v>0</v>
      </c>
      <c r="C64" s="2">
        <v>0</v>
      </c>
      <c r="D64" s="1">
        <f t="shared" si="3"/>
        <v>-14.61</v>
      </c>
      <c r="E64" s="1">
        <f t="shared" si="1"/>
        <v>0</v>
      </c>
      <c r="O64" s="1">
        <v>0</v>
      </c>
      <c r="P64">
        <f t="shared" si="2"/>
        <v>0</v>
      </c>
    </row>
    <row r="65" spans="1:16" x14ac:dyDescent="0.2">
      <c r="A65" s="1">
        <v>160</v>
      </c>
      <c r="B65" s="1">
        <v>85.69</v>
      </c>
      <c r="C65" s="2">
        <v>189.19</v>
      </c>
      <c r="D65" s="1">
        <f t="shared" si="3"/>
        <v>174.57999999999998</v>
      </c>
      <c r="E65" s="1">
        <f t="shared" si="1"/>
        <v>1.7645429390000002E-2</v>
      </c>
      <c r="O65" s="1">
        <v>17645429.390000001</v>
      </c>
      <c r="P65">
        <f t="shared" si="2"/>
        <v>1.7645429390000002E-2</v>
      </c>
    </row>
    <row r="66" spans="1:16" x14ac:dyDescent="0.2">
      <c r="A66" s="1">
        <v>162.5</v>
      </c>
      <c r="B66" s="1">
        <v>0</v>
      </c>
      <c r="C66" s="2">
        <v>0</v>
      </c>
      <c r="D66" s="1">
        <f t="shared" si="3"/>
        <v>-14.61</v>
      </c>
      <c r="E66" s="1">
        <f t="shared" ref="E66:E111" si="4">P66</f>
        <v>0</v>
      </c>
      <c r="O66" s="1">
        <v>0</v>
      </c>
      <c r="P66">
        <f t="shared" ref="P66:P111" si="5">O66/1000000000</f>
        <v>0</v>
      </c>
    </row>
    <row r="67" spans="1:16" x14ac:dyDescent="0.2">
      <c r="A67" s="1">
        <v>165</v>
      </c>
      <c r="B67" s="1">
        <v>0</v>
      </c>
      <c r="C67" s="2">
        <v>0</v>
      </c>
      <c r="D67" s="1">
        <f t="shared" si="3"/>
        <v>-14.61</v>
      </c>
      <c r="E67" s="1">
        <f t="shared" si="4"/>
        <v>0</v>
      </c>
      <c r="O67" s="1">
        <v>0</v>
      </c>
      <c r="P67">
        <f t="shared" si="5"/>
        <v>0</v>
      </c>
    </row>
    <row r="68" spans="1:16" x14ac:dyDescent="0.2">
      <c r="A68" s="1">
        <v>167.5</v>
      </c>
      <c r="B68" s="1">
        <v>0</v>
      </c>
      <c r="C68" s="2">
        <v>0</v>
      </c>
      <c r="D68" s="1">
        <f t="shared" si="3"/>
        <v>-14.61</v>
      </c>
      <c r="E68" s="1">
        <f t="shared" si="4"/>
        <v>0</v>
      </c>
      <c r="O68" s="1">
        <v>0</v>
      </c>
      <c r="P68">
        <f t="shared" si="5"/>
        <v>0</v>
      </c>
    </row>
    <row r="69" spans="1:16" x14ac:dyDescent="0.2">
      <c r="A69" s="1">
        <v>170</v>
      </c>
      <c r="B69" s="1">
        <v>88.15</v>
      </c>
      <c r="C69" s="2">
        <v>196.73</v>
      </c>
      <c r="D69" s="1">
        <f t="shared" si="3"/>
        <v>182.12</v>
      </c>
      <c r="E69" s="1">
        <f t="shared" si="4"/>
        <v>1.704520365E-2</v>
      </c>
      <c r="O69" s="1">
        <v>17045203.649999999</v>
      </c>
      <c r="P69">
        <f t="shared" si="5"/>
        <v>1.704520365E-2</v>
      </c>
    </row>
    <row r="70" spans="1:16" x14ac:dyDescent="0.2">
      <c r="A70" s="1">
        <v>172.5</v>
      </c>
      <c r="B70" s="1">
        <v>0</v>
      </c>
      <c r="C70" s="2">
        <v>0</v>
      </c>
      <c r="D70" s="1">
        <f t="shared" ref="D70:D111" si="6">C70-14.61</f>
        <v>-14.61</v>
      </c>
      <c r="E70" s="1">
        <f t="shared" si="4"/>
        <v>0</v>
      </c>
      <c r="O70" s="1">
        <v>0</v>
      </c>
      <c r="P70">
        <f t="shared" si="5"/>
        <v>0</v>
      </c>
    </row>
    <row r="71" spans="1:16" x14ac:dyDescent="0.2">
      <c r="A71" s="1">
        <v>175</v>
      </c>
      <c r="B71" s="1">
        <v>0</v>
      </c>
      <c r="C71" s="2">
        <v>0</v>
      </c>
      <c r="D71" s="1">
        <f t="shared" si="6"/>
        <v>-14.61</v>
      </c>
      <c r="E71" s="1">
        <f t="shared" si="4"/>
        <v>0</v>
      </c>
      <c r="O71" s="1">
        <v>0</v>
      </c>
      <c r="P71">
        <f t="shared" si="5"/>
        <v>0</v>
      </c>
    </row>
    <row r="72" spans="1:16" x14ac:dyDescent="0.2">
      <c r="A72" s="1">
        <v>177.5</v>
      </c>
      <c r="B72" s="1">
        <v>0</v>
      </c>
      <c r="C72" s="2">
        <v>0</v>
      </c>
      <c r="D72" s="1">
        <f t="shared" si="6"/>
        <v>-14.61</v>
      </c>
      <c r="E72" s="1">
        <f t="shared" si="4"/>
        <v>0</v>
      </c>
      <c r="O72" s="1">
        <v>0</v>
      </c>
      <c r="P72">
        <f t="shared" si="5"/>
        <v>0</v>
      </c>
    </row>
    <row r="73" spans="1:16" x14ac:dyDescent="0.2">
      <c r="A73" s="1">
        <v>180</v>
      </c>
      <c r="B73" s="1">
        <v>90.65</v>
      </c>
      <c r="C73" s="2">
        <v>204.23</v>
      </c>
      <c r="D73" s="1">
        <f t="shared" si="6"/>
        <v>189.62</v>
      </c>
      <c r="E73" s="1">
        <f t="shared" si="4"/>
        <v>1.6405625480000002E-2</v>
      </c>
      <c r="O73" s="1">
        <v>16405625.48</v>
      </c>
      <c r="P73">
        <f t="shared" si="5"/>
        <v>1.6405625480000002E-2</v>
      </c>
    </row>
    <row r="74" spans="1:16" x14ac:dyDescent="0.2">
      <c r="A74" s="1">
        <v>182.5</v>
      </c>
      <c r="B74" s="1">
        <v>0</v>
      </c>
      <c r="C74" s="2">
        <v>0</v>
      </c>
      <c r="D74" s="1">
        <f t="shared" si="6"/>
        <v>-14.61</v>
      </c>
      <c r="E74" s="1">
        <f t="shared" si="4"/>
        <v>0</v>
      </c>
      <c r="O74" s="1">
        <v>0</v>
      </c>
      <c r="P74">
        <f t="shared" si="5"/>
        <v>0</v>
      </c>
    </row>
    <row r="75" spans="1:16" x14ac:dyDescent="0.2">
      <c r="A75" s="1">
        <v>185</v>
      </c>
      <c r="B75" s="1">
        <v>0</v>
      </c>
      <c r="C75" s="2">
        <v>0</v>
      </c>
      <c r="D75" s="1">
        <f t="shared" si="6"/>
        <v>-14.61</v>
      </c>
      <c r="E75" s="1">
        <f t="shared" si="4"/>
        <v>0</v>
      </c>
      <c r="O75" s="1">
        <v>0</v>
      </c>
      <c r="P75">
        <f t="shared" si="5"/>
        <v>0</v>
      </c>
    </row>
    <row r="76" spans="1:16" x14ac:dyDescent="0.2">
      <c r="A76" s="1">
        <v>187.5</v>
      </c>
      <c r="B76" s="1">
        <v>0</v>
      </c>
      <c r="C76" s="2">
        <v>0</v>
      </c>
      <c r="D76" s="1">
        <f t="shared" si="6"/>
        <v>-14.61</v>
      </c>
      <c r="E76" s="1">
        <f t="shared" si="4"/>
        <v>0</v>
      </c>
      <c r="O76" s="1">
        <v>0</v>
      </c>
      <c r="P76">
        <f t="shared" si="5"/>
        <v>0</v>
      </c>
    </row>
    <row r="77" spans="1:16" x14ac:dyDescent="0.2">
      <c r="A77" s="1">
        <v>190</v>
      </c>
      <c r="B77" s="1">
        <v>93.19</v>
      </c>
      <c r="C77" s="2">
        <v>211.69</v>
      </c>
      <c r="D77" s="1">
        <f t="shared" si="6"/>
        <v>197.07999999999998</v>
      </c>
      <c r="E77" s="1">
        <f t="shared" si="4"/>
        <v>1.5726450779999998E-2</v>
      </c>
      <c r="O77" s="1">
        <v>15726450.779999999</v>
      </c>
      <c r="P77">
        <f t="shared" si="5"/>
        <v>1.5726450779999998E-2</v>
      </c>
    </row>
    <row r="78" spans="1:16" x14ac:dyDescent="0.2">
      <c r="A78" s="1">
        <v>192.5</v>
      </c>
      <c r="B78" s="1">
        <v>0</v>
      </c>
      <c r="C78" s="2">
        <v>0</v>
      </c>
      <c r="D78" s="1">
        <f t="shared" si="6"/>
        <v>-14.61</v>
      </c>
      <c r="E78" s="1">
        <f t="shared" si="4"/>
        <v>0</v>
      </c>
      <c r="O78" s="1">
        <v>0</v>
      </c>
      <c r="P78">
        <f t="shared" si="5"/>
        <v>0</v>
      </c>
    </row>
    <row r="79" spans="1:16" x14ac:dyDescent="0.2">
      <c r="A79" s="1">
        <v>195</v>
      </c>
      <c r="B79" s="1">
        <v>0</v>
      </c>
      <c r="C79" s="2">
        <v>0</v>
      </c>
      <c r="D79" s="1">
        <f t="shared" si="6"/>
        <v>-14.61</v>
      </c>
      <c r="E79" s="1">
        <f t="shared" si="4"/>
        <v>0</v>
      </c>
      <c r="O79" s="1">
        <v>0</v>
      </c>
      <c r="P79">
        <f t="shared" si="5"/>
        <v>0</v>
      </c>
    </row>
    <row r="80" spans="1:16" x14ac:dyDescent="0.2">
      <c r="A80" s="1">
        <v>197.5</v>
      </c>
      <c r="B80" s="1">
        <v>0</v>
      </c>
      <c r="C80" s="2">
        <v>0</v>
      </c>
      <c r="D80" s="1">
        <f t="shared" si="6"/>
        <v>-14.61</v>
      </c>
      <c r="E80" s="1">
        <f t="shared" si="4"/>
        <v>0</v>
      </c>
      <c r="O80" s="1">
        <v>0</v>
      </c>
      <c r="P80">
        <f t="shared" si="5"/>
        <v>0</v>
      </c>
    </row>
    <row r="81" spans="1:16" x14ac:dyDescent="0.2">
      <c r="A81" s="1">
        <v>200</v>
      </c>
      <c r="B81" s="1">
        <v>95.78</v>
      </c>
      <c r="C81" s="2">
        <v>219.1</v>
      </c>
      <c r="D81" s="1">
        <f t="shared" si="6"/>
        <v>204.49</v>
      </c>
      <c r="E81" s="1">
        <f t="shared" si="4"/>
        <v>1.5006957330000001E-2</v>
      </c>
      <c r="O81" s="1">
        <v>15006957.33</v>
      </c>
      <c r="P81">
        <f t="shared" si="5"/>
        <v>1.5006957330000001E-2</v>
      </c>
    </row>
    <row r="82" spans="1:16" x14ac:dyDescent="0.2">
      <c r="A82" s="1">
        <v>202.5</v>
      </c>
      <c r="B82" s="1">
        <v>0</v>
      </c>
      <c r="C82" s="2">
        <v>0</v>
      </c>
      <c r="D82" s="1">
        <f t="shared" si="6"/>
        <v>-14.61</v>
      </c>
      <c r="E82" s="1">
        <f t="shared" si="4"/>
        <v>0</v>
      </c>
      <c r="O82" s="1">
        <v>0</v>
      </c>
      <c r="P82">
        <f t="shared" si="5"/>
        <v>0</v>
      </c>
    </row>
    <row r="83" spans="1:16" x14ac:dyDescent="0.2">
      <c r="A83" s="1">
        <v>205</v>
      </c>
      <c r="B83" s="1">
        <v>0</v>
      </c>
      <c r="C83" s="2">
        <v>0</v>
      </c>
      <c r="D83" s="1">
        <f t="shared" si="6"/>
        <v>-14.61</v>
      </c>
      <c r="E83" s="1">
        <f t="shared" si="4"/>
        <v>0</v>
      </c>
      <c r="O83" s="1">
        <v>0</v>
      </c>
      <c r="P83">
        <f t="shared" si="5"/>
        <v>0</v>
      </c>
    </row>
    <row r="84" spans="1:16" x14ac:dyDescent="0.2">
      <c r="A84" s="1">
        <v>207.5</v>
      </c>
      <c r="B84" s="1">
        <v>0</v>
      </c>
      <c r="C84" s="2">
        <v>0</v>
      </c>
      <c r="D84" s="1">
        <f t="shared" si="6"/>
        <v>-14.61</v>
      </c>
      <c r="E84" s="1">
        <f t="shared" si="4"/>
        <v>0</v>
      </c>
      <c r="O84" s="1">
        <v>0</v>
      </c>
      <c r="P84">
        <f t="shared" si="5"/>
        <v>0</v>
      </c>
    </row>
    <row r="85" spans="1:16" x14ac:dyDescent="0.2">
      <c r="A85" s="1">
        <v>210</v>
      </c>
      <c r="B85" s="1">
        <v>98.42</v>
      </c>
      <c r="C85" s="2">
        <v>226.46</v>
      </c>
      <c r="D85" s="1">
        <f t="shared" si="6"/>
        <v>211.85000000000002</v>
      </c>
      <c r="E85" s="1">
        <f t="shared" si="4"/>
        <v>1.4245881849999999E-2</v>
      </c>
      <c r="O85" s="1">
        <v>14245881.85</v>
      </c>
      <c r="P85">
        <f t="shared" si="5"/>
        <v>1.4245881849999999E-2</v>
      </c>
    </row>
    <row r="86" spans="1:16" x14ac:dyDescent="0.2">
      <c r="A86" s="1">
        <v>212.5</v>
      </c>
      <c r="B86" s="1">
        <v>0</v>
      </c>
      <c r="C86" s="2">
        <v>0</v>
      </c>
      <c r="D86" s="1">
        <f t="shared" si="6"/>
        <v>-14.61</v>
      </c>
      <c r="E86" s="1">
        <f t="shared" si="4"/>
        <v>0</v>
      </c>
      <c r="O86" s="1">
        <v>0</v>
      </c>
      <c r="P86">
        <f t="shared" si="5"/>
        <v>0</v>
      </c>
    </row>
    <row r="87" spans="1:16" x14ac:dyDescent="0.2">
      <c r="A87" s="1">
        <v>215</v>
      </c>
      <c r="B87" s="1">
        <v>0</v>
      </c>
      <c r="C87" s="2">
        <v>0</v>
      </c>
      <c r="D87" s="1">
        <f t="shared" si="6"/>
        <v>-14.61</v>
      </c>
      <c r="E87" s="1">
        <f t="shared" si="4"/>
        <v>0</v>
      </c>
      <c r="O87" s="1">
        <v>0</v>
      </c>
      <c r="P87">
        <f t="shared" si="5"/>
        <v>0</v>
      </c>
    </row>
    <row r="88" spans="1:16" x14ac:dyDescent="0.2">
      <c r="A88" s="1">
        <v>217.5</v>
      </c>
      <c r="B88" s="1">
        <v>0</v>
      </c>
      <c r="C88" s="2">
        <v>0</v>
      </c>
      <c r="D88" s="1">
        <f t="shared" si="6"/>
        <v>-14.61</v>
      </c>
      <c r="E88" s="1">
        <f t="shared" si="4"/>
        <v>0</v>
      </c>
      <c r="O88" s="1">
        <v>0</v>
      </c>
      <c r="P88">
        <f t="shared" si="5"/>
        <v>0</v>
      </c>
    </row>
    <row r="89" spans="1:16" x14ac:dyDescent="0.2">
      <c r="A89" s="1">
        <v>220</v>
      </c>
      <c r="B89" s="1">
        <v>101.09</v>
      </c>
      <c r="C89" s="2">
        <v>233.79</v>
      </c>
      <c r="D89" s="1">
        <f t="shared" si="6"/>
        <v>219.18</v>
      </c>
      <c r="E89" s="1">
        <f t="shared" si="4"/>
        <v>1.3441295949999999E-2</v>
      </c>
      <c r="O89" s="1">
        <v>13441295.949999999</v>
      </c>
      <c r="P89">
        <f t="shared" si="5"/>
        <v>1.3441295949999999E-2</v>
      </c>
    </row>
    <row r="90" spans="1:16" x14ac:dyDescent="0.2">
      <c r="A90" s="1">
        <v>222.5</v>
      </c>
      <c r="B90" s="1">
        <v>0</v>
      </c>
      <c r="C90" s="2">
        <v>0</v>
      </c>
      <c r="D90" s="1">
        <f t="shared" si="6"/>
        <v>-14.61</v>
      </c>
      <c r="E90" s="1">
        <f t="shared" si="4"/>
        <v>0</v>
      </c>
      <c r="O90" s="1">
        <v>0</v>
      </c>
      <c r="P90">
        <f t="shared" si="5"/>
        <v>0</v>
      </c>
    </row>
    <row r="91" spans="1:16" x14ac:dyDescent="0.2">
      <c r="A91" s="1">
        <v>225</v>
      </c>
      <c r="B91" s="1">
        <v>0</v>
      </c>
      <c r="C91" s="2">
        <v>0</v>
      </c>
      <c r="D91" s="1">
        <f t="shared" si="6"/>
        <v>-14.61</v>
      </c>
      <c r="E91" s="1">
        <f t="shared" si="4"/>
        <v>0</v>
      </c>
      <c r="O91" s="1">
        <v>0</v>
      </c>
      <c r="P91">
        <f t="shared" si="5"/>
        <v>0</v>
      </c>
    </row>
    <row r="92" spans="1:16" x14ac:dyDescent="0.2">
      <c r="A92" s="1">
        <v>227.5</v>
      </c>
      <c r="B92" s="1">
        <v>0</v>
      </c>
      <c r="C92" s="2">
        <v>0</v>
      </c>
      <c r="D92" s="1">
        <f t="shared" si="6"/>
        <v>-14.61</v>
      </c>
      <c r="E92" s="1">
        <f t="shared" si="4"/>
        <v>0</v>
      </c>
      <c r="O92" s="1">
        <v>0</v>
      </c>
      <c r="P92">
        <f t="shared" si="5"/>
        <v>0</v>
      </c>
    </row>
    <row r="93" spans="1:16" x14ac:dyDescent="0.2">
      <c r="A93" s="1">
        <v>230</v>
      </c>
      <c r="B93" s="1">
        <v>103.82</v>
      </c>
      <c r="C93" s="2">
        <v>241.06</v>
      </c>
      <c r="D93" s="1">
        <f t="shared" si="6"/>
        <v>226.45</v>
      </c>
      <c r="E93" s="1">
        <f t="shared" si="4"/>
        <v>1.2590387349999999E-2</v>
      </c>
      <c r="O93" s="1">
        <v>12590387.35</v>
      </c>
      <c r="P93">
        <f t="shared" si="5"/>
        <v>1.2590387349999999E-2</v>
      </c>
    </row>
    <row r="94" spans="1:16" x14ac:dyDescent="0.2">
      <c r="A94" s="1">
        <v>232.5</v>
      </c>
      <c r="B94" s="1">
        <v>0</v>
      </c>
      <c r="C94" s="2">
        <v>0</v>
      </c>
      <c r="D94" s="1">
        <f t="shared" si="6"/>
        <v>-14.61</v>
      </c>
      <c r="E94" s="1">
        <f t="shared" si="4"/>
        <v>0</v>
      </c>
      <c r="O94" s="1">
        <v>0</v>
      </c>
      <c r="P94">
        <f t="shared" si="5"/>
        <v>0</v>
      </c>
    </row>
    <row r="95" spans="1:16" x14ac:dyDescent="0.2">
      <c r="A95" s="1">
        <v>235</v>
      </c>
      <c r="B95" s="1">
        <v>0</v>
      </c>
      <c r="C95" s="2">
        <v>0</v>
      </c>
      <c r="D95" s="1">
        <f t="shared" si="6"/>
        <v>-14.61</v>
      </c>
      <c r="E95" s="1">
        <f t="shared" si="4"/>
        <v>0</v>
      </c>
      <c r="O95" s="1">
        <v>0</v>
      </c>
      <c r="P95">
        <f t="shared" si="5"/>
        <v>0</v>
      </c>
    </row>
    <row r="96" spans="1:16" x14ac:dyDescent="0.2">
      <c r="A96" s="1">
        <v>237.5</v>
      </c>
      <c r="B96" s="1">
        <v>0</v>
      </c>
      <c r="C96" s="2">
        <v>0</v>
      </c>
      <c r="D96" s="1">
        <f t="shared" si="6"/>
        <v>-14.61</v>
      </c>
      <c r="E96" s="1">
        <f t="shared" si="4"/>
        <v>0</v>
      </c>
      <c r="O96" s="1">
        <v>0</v>
      </c>
      <c r="P96">
        <f t="shared" si="5"/>
        <v>0</v>
      </c>
    </row>
    <row r="97" spans="1:16" x14ac:dyDescent="0.2">
      <c r="A97" s="1">
        <v>240</v>
      </c>
      <c r="B97" s="1">
        <v>106.59</v>
      </c>
      <c r="C97" s="2">
        <v>248.29</v>
      </c>
      <c r="D97" s="1">
        <f t="shared" si="6"/>
        <v>233.68</v>
      </c>
      <c r="E97" s="1">
        <f t="shared" si="4"/>
        <v>1.1689077400000001E-2</v>
      </c>
      <c r="O97" s="1">
        <v>11689077.4</v>
      </c>
      <c r="P97">
        <f t="shared" si="5"/>
        <v>1.1689077400000001E-2</v>
      </c>
    </row>
    <row r="98" spans="1:16" x14ac:dyDescent="0.2">
      <c r="A98" s="1">
        <v>242.5</v>
      </c>
      <c r="B98" s="1">
        <v>0</v>
      </c>
      <c r="C98" s="2">
        <v>0</v>
      </c>
      <c r="D98" s="1">
        <f t="shared" si="6"/>
        <v>-14.61</v>
      </c>
      <c r="E98" s="1">
        <f t="shared" si="4"/>
        <v>0</v>
      </c>
      <c r="O98" s="1">
        <v>0</v>
      </c>
      <c r="P98">
        <f t="shared" si="5"/>
        <v>0</v>
      </c>
    </row>
    <row r="99" spans="1:16" x14ac:dyDescent="0.2">
      <c r="A99" s="1">
        <v>245</v>
      </c>
      <c r="B99" s="1">
        <v>0</v>
      </c>
      <c r="C99" s="2">
        <v>0</v>
      </c>
      <c r="D99" s="1">
        <f t="shared" si="6"/>
        <v>-14.61</v>
      </c>
      <c r="E99" s="1">
        <f t="shared" si="4"/>
        <v>0</v>
      </c>
      <c r="O99" s="1">
        <v>0</v>
      </c>
      <c r="P99">
        <f t="shared" si="5"/>
        <v>0</v>
      </c>
    </row>
    <row r="100" spans="1:16" x14ac:dyDescent="0.2">
      <c r="A100" s="1">
        <v>247.5</v>
      </c>
      <c r="B100" s="1">
        <v>0</v>
      </c>
      <c r="C100" s="2">
        <v>0</v>
      </c>
      <c r="D100" s="1">
        <f t="shared" si="6"/>
        <v>-14.61</v>
      </c>
      <c r="E100" s="1">
        <f t="shared" si="4"/>
        <v>0</v>
      </c>
      <c r="O100" s="1">
        <v>0</v>
      </c>
      <c r="P100">
        <f t="shared" si="5"/>
        <v>0</v>
      </c>
    </row>
    <row r="101" spans="1:16" x14ac:dyDescent="0.2">
      <c r="A101" s="1">
        <v>250</v>
      </c>
      <c r="B101" s="1">
        <v>109.42</v>
      </c>
      <c r="C101" s="2">
        <v>255.46</v>
      </c>
      <c r="D101" s="1">
        <f t="shared" si="6"/>
        <v>240.85000000000002</v>
      </c>
      <c r="E101" s="1">
        <f t="shared" si="4"/>
        <v>1.073132492E-2</v>
      </c>
      <c r="O101" s="1">
        <v>10731324.92</v>
      </c>
      <c r="P101">
        <f t="shared" si="5"/>
        <v>1.073132492E-2</v>
      </c>
    </row>
    <row r="102" spans="1:16" x14ac:dyDescent="0.2">
      <c r="A102" s="1">
        <v>252.5</v>
      </c>
      <c r="B102" s="1">
        <v>0</v>
      </c>
      <c r="C102" s="2">
        <v>0</v>
      </c>
      <c r="D102" s="1">
        <f t="shared" si="6"/>
        <v>-14.61</v>
      </c>
      <c r="E102" s="1">
        <f t="shared" si="4"/>
        <v>0</v>
      </c>
      <c r="O102" s="1">
        <v>0</v>
      </c>
      <c r="P102">
        <f t="shared" si="5"/>
        <v>0</v>
      </c>
    </row>
    <row r="103" spans="1:16" x14ac:dyDescent="0.2">
      <c r="A103" s="1">
        <v>255</v>
      </c>
      <c r="B103" s="1">
        <v>0</v>
      </c>
      <c r="C103" s="2">
        <v>0</v>
      </c>
      <c r="D103" s="1">
        <f t="shared" si="6"/>
        <v>-14.61</v>
      </c>
      <c r="E103" s="1">
        <f t="shared" si="4"/>
        <v>0</v>
      </c>
      <c r="O103" s="1">
        <v>0</v>
      </c>
      <c r="P103">
        <f t="shared" si="5"/>
        <v>0</v>
      </c>
    </row>
    <row r="104" spans="1:16" x14ac:dyDescent="0.2">
      <c r="A104" s="1">
        <v>257.5</v>
      </c>
      <c r="B104" s="1">
        <v>0</v>
      </c>
      <c r="C104" s="2">
        <v>0</v>
      </c>
      <c r="D104" s="1">
        <f t="shared" si="6"/>
        <v>-14.61</v>
      </c>
      <c r="E104" s="1">
        <f t="shared" si="4"/>
        <v>0</v>
      </c>
      <c r="O104" s="1">
        <v>0</v>
      </c>
      <c r="P104">
        <f t="shared" si="5"/>
        <v>0</v>
      </c>
    </row>
    <row r="105" spans="1:16" x14ac:dyDescent="0.2">
      <c r="A105" s="1">
        <v>260</v>
      </c>
      <c r="B105" s="1">
        <v>112.32</v>
      </c>
      <c r="C105" s="2">
        <v>262.56</v>
      </c>
      <c r="D105" s="1">
        <f t="shared" si="6"/>
        <v>247.95</v>
      </c>
      <c r="E105" s="1">
        <f t="shared" si="4"/>
        <v>9.707760289999999E-3</v>
      </c>
      <c r="O105" s="1">
        <v>9707760.2899999991</v>
      </c>
      <c r="P105">
        <f t="shared" si="5"/>
        <v>9.707760289999999E-3</v>
      </c>
    </row>
    <row r="106" spans="1:16" x14ac:dyDescent="0.2">
      <c r="A106" s="1">
        <v>262.5</v>
      </c>
      <c r="B106" s="1">
        <v>0</v>
      </c>
      <c r="C106" s="2">
        <v>0</v>
      </c>
      <c r="D106" s="1">
        <f t="shared" si="6"/>
        <v>-14.61</v>
      </c>
      <c r="E106" s="1">
        <f t="shared" si="4"/>
        <v>0</v>
      </c>
      <c r="O106" s="1">
        <v>0</v>
      </c>
      <c r="P106">
        <f t="shared" si="5"/>
        <v>0</v>
      </c>
    </row>
    <row r="107" spans="1:16" x14ac:dyDescent="0.2">
      <c r="A107" s="1">
        <v>265</v>
      </c>
      <c r="B107" s="1">
        <v>0</v>
      </c>
      <c r="C107" s="2">
        <v>0</v>
      </c>
      <c r="D107" s="1">
        <f t="shared" si="6"/>
        <v>-14.61</v>
      </c>
      <c r="E107" s="1">
        <f t="shared" si="4"/>
        <v>0</v>
      </c>
      <c r="O107" s="1">
        <v>0</v>
      </c>
      <c r="P107">
        <f t="shared" si="5"/>
        <v>0</v>
      </c>
    </row>
    <row r="108" spans="1:16" x14ac:dyDescent="0.2">
      <c r="A108" s="1">
        <v>267.5</v>
      </c>
      <c r="B108" s="1">
        <v>0</v>
      </c>
      <c r="C108" s="2">
        <v>0</v>
      </c>
      <c r="D108" s="1">
        <f t="shared" si="6"/>
        <v>-14.61</v>
      </c>
      <c r="E108" s="1">
        <f t="shared" si="4"/>
        <v>0</v>
      </c>
      <c r="O108" s="1">
        <v>0</v>
      </c>
      <c r="P108">
        <f t="shared" si="5"/>
        <v>0</v>
      </c>
    </row>
    <row r="109" spans="1:16" x14ac:dyDescent="0.2">
      <c r="A109" s="1">
        <v>270</v>
      </c>
      <c r="B109" s="1">
        <v>115.31</v>
      </c>
      <c r="C109" s="2">
        <v>269.57</v>
      </c>
      <c r="D109" s="1">
        <f t="shared" si="6"/>
        <v>254.95999999999998</v>
      </c>
      <c r="E109" s="1">
        <f t="shared" si="4"/>
        <v>8.6026706499999998E-3</v>
      </c>
      <c r="O109" s="1">
        <v>8602670.6500000004</v>
      </c>
      <c r="P109">
        <f t="shared" si="5"/>
        <v>8.6026706499999998E-3</v>
      </c>
    </row>
    <row r="110" spans="1:16" x14ac:dyDescent="0.2">
      <c r="A110" s="1">
        <v>272.5</v>
      </c>
      <c r="B110" s="1">
        <v>0</v>
      </c>
      <c r="C110" s="2">
        <v>0</v>
      </c>
      <c r="D110" s="1">
        <f t="shared" si="6"/>
        <v>-14.61</v>
      </c>
      <c r="E110" s="1">
        <f t="shared" si="4"/>
        <v>0</v>
      </c>
      <c r="O110" s="1">
        <v>0</v>
      </c>
      <c r="P110">
        <f t="shared" si="5"/>
        <v>0</v>
      </c>
    </row>
    <row r="111" spans="1:16" x14ac:dyDescent="0.2">
      <c r="A111" s="1">
        <v>275</v>
      </c>
      <c r="B111" s="1">
        <v>0</v>
      </c>
      <c r="C111" s="2">
        <v>0</v>
      </c>
      <c r="D111" s="1">
        <f t="shared" si="6"/>
        <v>-14.61</v>
      </c>
      <c r="E111" s="1">
        <f t="shared" si="4"/>
        <v>0</v>
      </c>
      <c r="O111" s="1">
        <v>0</v>
      </c>
      <c r="P111">
        <f t="shared" si="5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chenzhou</dc:creator>
  <cp:lastModifiedBy>office</cp:lastModifiedBy>
  <dcterms:created xsi:type="dcterms:W3CDTF">2015-06-05T18:19:34Z</dcterms:created>
  <dcterms:modified xsi:type="dcterms:W3CDTF">2025-06-11T07:02:50Z</dcterms:modified>
</cp:coreProperties>
</file>