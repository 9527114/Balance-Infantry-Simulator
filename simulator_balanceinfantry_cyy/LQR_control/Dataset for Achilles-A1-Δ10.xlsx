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二下\机器人控制与建模\proj\simulator_balanceinfantry_cyy\LQR_control\"/>
    </mc:Choice>
  </mc:AlternateContent>
  <xr:revisionPtr revIDLastSave="0" documentId="13_ncr:1_{A4E5BE6C-6D95-46E4-B658-A07C28A52468}" xr6:coauthVersionLast="47" xr6:coauthVersionMax="47" xr10:uidLastSave="{00000000-0000-0000-0000-000000000000}"/>
  <bookViews>
    <workbookView xWindow="6795" yWindow="4185" windowWidth="21600" windowHeight="11295" xr2:uid="{23354506-C37E-45F4-A703-561D0ED3013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5" i="1"/>
  <c r="B112" i="1"/>
  <c r="B113" i="1"/>
  <c r="B114" i="1"/>
  <c r="B115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6" i="1"/>
  <c r="B7" i="1"/>
  <c r="B8" i="1"/>
  <c r="B9" i="1"/>
  <c r="B10" i="1"/>
  <c r="B5" i="1"/>
  <c r="M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<sst xmlns="http://schemas.openxmlformats.org/spreadsheetml/2006/main" count="33" uniqueCount="30">
  <si>
    <t>Leg Length</t>
    <phoneticPr fontId="1" type="noConversion"/>
  </si>
  <si>
    <t>驱动轮到腿部质心距离</t>
  </si>
  <si>
    <t>中间值（质心到旋转中心距离）</t>
    <phoneticPr fontId="1" type="noConversion"/>
  </si>
  <si>
    <t>机体质心到腿部质心距离（竖直方向）</t>
    <phoneticPr fontId="1" type="noConversion"/>
  </si>
  <si>
    <t>腿部转动惯量（自然坐标系法向）</t>
  </si>
  <si>
    <r>
      <rPr>
        <sz val="11"/>
        <color rgb="FF000000"/>
        <rFont val="微软雅黑"/>
        <family val="2"/>
        <charset val="134"/>
      </rPr>
      <t>机体质心到腿部关节距离</t>
    </r>
    <r>
      <rPr>
        <sz val="11"/>
        <color rgb="FF000000"/>
        <rFont val="Arial"/>
        <family val="2"/>
      </rPr>
      <t>(m)</t>
    </r>
    <phoneticPr fontId="1" type="noConversion"/>
  </si>
  <si>
    <t>驱动轮半径(m)</t>
    <phoneticPr fontId="1" type="noConversion"/>
  </si>
  <si>
    <r>
      <rPr>
        <sz val="11"/>
        <color rgb="FF000000"/>
        <rFont val="微软雅黑"/>
        <family val="2"/>
        <charset val="134"/>
      </rPr>
      <t>驱动轮轮距(</t>
    </r>
    <r>
      <rPr>
        <sz val="11"/>
        <color rgb="FF000000"/>
        <rFont val="Arial"/>
        <family val="2"/>
      </rPr>
      <t>m)/2</t>
    </r>
    <phoneticPr fontId="1" type="noConversion"/>
  </si>
  <si>
    <t>驱动轮质量(g)</t>
    <phoneticPr fontId="1" type="noConversion"/>
  </si>
  <si>
    <t>腿部质量(g)</t>
    <phoneticPr fontId="1" type="noConversion"/>
  </si>
  <si>
    <r>
      <rPr>
        <sz val="11"/>
        <color rgb="FF000000"/>
        <rFont val="微软雅黑"/>
        <family val="2"/>
        <charset val="134"/>
      </rPr>
      <t>机体质量</t>
    </r>
    <r>
      <rPr>
        <sz val="11"/>
        <color rgb="FF000000"/>
        <rFont val="Arial"/>
        <family val="2"/>
      </rPr>
      <t>(g)</t>
    </r>
    <phoneticPr fontId="1" type="noConversion"/>
  </si>
  <si>
    <r>
      <rPr>
        <sz val="11"/>
        <color rgb="FF000000"/>
        <rFont val="微软雅黑"/>
        <family val="2"/>
        <charset val="134"/>
      </rPr>
      <t>驱动轮转动惯量（自然坐标系法向）</t>
    </r>
    <r>
      <rPr>
        <sz val="11"/>
        <color rgb="FF000000"/>
        <rFont val="Arial"/>
        <family val="2"/>
      </rPr>
      <t>(g*mm^2)</t>
    </r>
    <phoneticPr fontId="1" type="noConversion"/>
  </si>
  <si>
    <r>
      <rPr>
        <sz val="11"/>
        <color rgb="FF000000"/>
        <rFont val="微软雅黑"/>
        <family val="2"/>
        <charset val="134"/>
      </rPr>
      <t>机体转动惯量（自然坐标系法向）</t>
    </r>
    <r>
      <rPr>
        <sz val="11"/>
        <color rgb="FF000000"/>
        <rFont val="Arial"/>
        <family val="2"/>
      </rPr>
      <t>(g*mm^2)</t>
    </r>
    <phoneticPr fontId="1" type="noConversion"/>
  </si>
  <si>
    <r>
      <rPr>
        <sz val="11"/>
        <color rgb="FF000000"/>
        <rFont val="微软雅黑"/>
        <family val="2"/>
        <charset val="134"/>
      </rPr>
      <t>机器人</t>
    </r>
    <r>
      <rPr>
        <sz val="11"/>
        <color rgb="FF000000"/>
        <rFont val="Arial"/>
        <family val="2"/>
      </rPr>
      <t>z</t>
    </r>
    <r>
      <rPr>
        <sz val="11"/>
        <color rgb="FF000000"/>
        <rFont val="微软雅黑"/>
        <family val="2"/>
        <charset val="134"/>
      </rPr>
      <t>轴转动惯量</t>
    </r>
    <r>
      <rPr>
        <sz val="11"/>
        <color rgb="FF000000"/>
        <rFont val="Arial"/>
        <family val="2"/>
      </rPr>
      <t>(g*mm^2)</t>
    </r>
    <phoneticPr fontId="1" type="noConversion"/>
  </si>
  <si>
    <t>Static Parameter</t>
    <phoneticPr fontId="1" type="noConversion"/>
  </si>
  <si>
    <t>\</t>
    <phoneticPr fontId="1" type="noConversion"/>
  </si>
  <si>
    <t>Take Highest part as 0</t>
    <phoneticPr fontId="1" type="noConversion"/>
  </si>
  <si>
    <t>ΔH = 273 mm</t>
    <phoneticPr fontId="1" type="noConversion"/>
  </si>
  <si>
    <t>当前Δh = 10 mm</t>
    <phoneticPr fontId="1" type="noConversion"/>
  </si>
  <si>
    <t>Beginning with squatting position（轮中心到旋转中心竖直高度为114.88）</t>
    <phoneticPr fontId="1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</si>
  <si>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 type="noConversion"/>
  </si>
  <si>
    <t>Increment</t>
    <phoneticPr fontId="1" type="noConversion"/>
  </si>
  <si>
    <t>Real Length</t>
    <phoneticPr fontId="1" type="noConversion"/>
  </si>
  <si>
    <t>Unit(mm)</t>
    <phoneticPr fontId="1" type="noConversion"/>
  </si>
  <si>
    <t>Unit(mm)</t>
  </si>
  <si>
    <t>Unit(g*mm^2)</t>
    <phoneticPr fontId="1" type="noConversion"/>
  </si>
  <si>
    <t>其他关键参数</t>
    <phoneticPr fontId="1" type="noConversion"/>
  </si>
  <si>
    <t>转动角度：105°</t>
    <phoneticPr fontId="1" type="noConversion"/>
  </si>
  <si>
    <t>上仰角：35°</t>
    <phoneticPr fontId="1" type="noConversion"/>
  </si>
  <si>
    <t>下俯角：70°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</si>
</sst>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Arial"/>
      <family val="2"/>
    </font>
    <font>
      <sz val="11"/>
      <color rgb="FF000000"/>
      <name val="微软雅黑"/>
      <family val="2"/>
      <charset val="134"/>
    </font>
    <font>
      <sz val="11"/>
      <color theme="2" tint="-0.249977111117893"/>
      <name val="等线"/>
      <family val="2"/>
      <charset val="134"/>
      <scheme val="minor"/>
    </font>
    <font>
      <sz val="11"/>
      <color theme="2" tint="-0.249977111117893"/>
      <name val="宋体"/>
      <family val="2"/>
      <charset val="134"/>
    </font>
    <font>
      <sz val="11"/>
      <color rgb="FF000000"/>
      <name val="Arial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Sheet1!$F$1:$F$4</c:f>
              <c:strCache>
                <c:ptCount val="4"/>
                <c:pt idx="0">
                  <c:v>腿部转动惯量（自然坐标系法向）</c:v>
                </c:pt>
                <c:pt idx="1">
                  <c:v>\</c:v>
                </c:pt>
                <c:pt idx="2">
                  <c:v>114.88</c:v>
                </c:pt>
                <c:pt idx="3">
                  <c:v>Unit(g*mm^2)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Sheet1!$A$5:$A$115</c:f>
              <c:numCache>
                <c:formatCode>General</c:formatCode>
                <c:ptCount val="11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  <c:pt idx="21">
                  <c:v>52.5</c:v>
                </c:pt>
                <c:pt idx="22">
                  <c:v>55</c:v>
                </c:pt>
                <c:pt idx="23">
                  <c:v>57.5</c:v>
                </c:pt>
                <c:pt idx="24">
                  <c:v>60</c:v>
                </c:pt>
                <c:pt idx="25">
                  <c:v>62.5</c:v>
                </c:pt>
                <c:pt idx="26">
                  <c:v>65</c:v>
                </c:pt>
                <c:pt idx="27">
                  <c:v>67.5</c:v>
                </c:pt>
                <c:pt idx="28">
                  <c:v>70</c:v>
                </c:pt>
                <c:pt idx="29">
                  <c:v>72.5</c:v>
                </c:pt>
                <c:pt idx="30">
                  <c:v>75</c:v>
                </c:pt>
                <c:pt idx="31">
                  <c:v>77.5</c:v>
                </c:pt>
                <c:pt idx="32">
                  <c:v>80</c:v>
                </c:pt>
                <c:pt idx="33">
                  <c:v>82.5</c:v>
                </c:pt>
                <c:pt idx="34">
                  <c:v>85</c:v>
                </c:pt>
                <c:pt idx="35">
                  <c:v>87.5</c:v>
                </c:pt>
                <c:pt idx="36">
                  <c:v>90</c:v>
                </c:pt>
                <c:pt idx="37">
                  <c:v>92.5</c:v>
                </c:pt>
                <c:pt idx="38">
                  <c:v>95</c:v>
                </c:pt>
                <c:pt idx="39">
                  <c:v>97.5</c:v>
                </c:pt>
                <c:pt idx="40">
                  <c:v>100</c:v>
                </c:pt>
                <c:pt idx="41">
                  <c:v>102.5</c:v>
                </c:pt>
                <c:pt idx="42">
                  <c:v>105</c:v>
                </c:pt>
                <c:pt idx="43">
                  <c:v>107.5</c:v>
                </c:pt>
                <c:pt idx="44">
                  <c:v>110</c:v>
                </c:pt>
                <c:pt idx="45">
                  <c:v>112.5</c:v>
                </c:pt>
                <c:pt idx="46">
                  <c:v>115</c:v>
                </c:pt>
                <c:pt idx="47">
                  <c:v>117.5</c:v>
                </c:pt>
                <c:pt idx="48">
                  <c:v>120</c:v>
                </c:pt>
                <c:pt idx="49">
                  <c:v>122.5</c:v>
                </c:pt>
                <c:pt idx="50">
                  <c:v>125</c:v>
                </c:pt>
                <c:pt idx="51">
                  <c:v>127.5</c:v>
                </c:pt>
                <c:pt idx="52">
                  <c:v>130</c:v>
                </c:pt>
                <c:pt idx="53">
                  <c:v>132.5</c:v>
                </c:pt>
                <c:pt idx="54">
                  <c:v>135</c:v>
                </c:pt>
                <c:pt idx="55">
                  <c:v>137.5</c:v>
                </c:pt>
                <c:pt idx="56">
                  <c:v>140</c:v>
                </c:pt>
                <c:pt idx="57">
                  <c:v>142.5</c:v>
                </c:pt>
                <c:pt idx="58">
                  <c:v>145</c:v>
                </c:pt>
                <c:pt idx="59">
                  <c:v>147.5</c:v>
                </c:pt>
                <c:pt idx="60">
                  <c:v>150</c:v>
                </c:pt>
                <c:pt idx="61">
                  <c:v>152.5</c:v>
                </c:pt>
                <c:pt idx="62">
                  <c:v>155</c:v>
                </c:pt>
                <c:pt idx="63">
                  <c:v>157.5</c:v>
                </c:pt>
                <c:pt idx="64">
                  <c:v>160</c:v>
                </c:pt>
                <c:pt idx="65">
                  <c:v>162.5</c:v>
                </c:pt>
                <c:pt idx="66">
                  <c:v>165</c:v>
                </c:pt>
                <c:pt idx="67">
                  <c:v>167.5</c:v>
                </c:pt>
                <c:pt idx="68">
                  <c:v>170</c:v>
                </c:pt>
                <c:pt idx="69">
                  <c:v>172.5</c:v>
                </c:pt>
                <c:pt idx="70">
                  <c:v>175</c:v>
                </c:pt>
                <c:pt idx="71">
                  <c:v>177.5</c:v>
                </c:pt>
                <c:pt idx="72">
                  <c:v>180</c:v>
                </c:pt>
                <c:pt idx="73">
                  <c:v>182.5</c:v>
                </c:pt>
                <c:pt idx="74">
                  <c:v>185</c:v>
                </c:pt>
                <c:pt idx="75">
                  <c:v>187.5</c:v>
                </c:pt>
                <c:pt idx="76">
                  <c:v>190</c:v>
                </c:pt>
                <c:pt idx="77">
                  <c:v>192.5</c:v>
                </c:pt>
                <c:pt idx="78">
                  <c:v>195</c:v>
                </c:pt>
                <c:pt idx="79">
                  <c:v>197.5</c:v>
                </c:pt>
                <c:pt idx="80">
                  <c:v>200</c:v>
                </c:pt>
                <c:pt idx="81">
                  <c:v>202.5</c:v>
                </c:pt>
                <c:pt idx="82">
                  <c:v>205</c:v>
                </c:pt>
                <c:pt idx="83">
                  <c:v>207.5</c:v>
                </c:pt>
                <c:pt idx="84">
                  <c:v>210</c:v>
                </c:pt>
                <c:pt idx="85">
                  <c:v>212.5</c:v>
                </c:pt>
                <c:pt idx="86">
                  <c:v>215</c:v>
                </c:pt>
                <c:pt idx="87">
                  <c:v>217.5</c:v>
                </c:pt>
                <c:pt idx="88">
                  <c:v>220</c:v>
                </c:pt>
                <c:pt idx="89">
                  <c:v>222.5</c:v>
                </c:pt>
                <c:pt idx="90">
                  <c:v>225</c:v>
                </c:pt>
                <c:pt idx="91">
                  <c:v>227.5</c:v>
                </c:pt>
                <c:pt idx="92">
                  <c:v>230</c:v>
                </c:pt>
                <c:pt idx="93">
                  <c:v>232.5</c:v>
                </c:pt>
                <c:pt idx="94">
                  <c:v>235</c:v>
                </c:pt>
                <c:pt idx="95">
                  <c:v>237.5</c:v>
                </c:pt>
                <c:pt idx="96">
                  <c:v>240</c:v>
                </c:pt>
                <c:pt idx="97">
                  <c:v>242.5</c:v>
                </c:pt>
                <c:pt idx="98">
                  <c:v>245</c:v>
                </c:pt>
                <c:pt idx="99">
                  <c:v>247.5</c:v>
                </c:pt>
                <c:pt idx="100">
                  <c:v>250</c:v>
                </c:pt>
                <c:pt idx="101">
                  <c:v>252.5</c:v>
                </c:pt>
                <c:pt idx="102">
                  <c:v>255</c:v>
                </c:pt>
                <c:pt idx="103">
                  <c:v>257.5</c:v>
                </c:pt>
                <c:pt idx="104">
                  <c:v>260</c:v>
                </c:pt>
                <c:pt idx="105">
                  <c:v>262.5</c:v>
                </c:pt>
                <c:pt idx="106">
                  <c:v>265</c:v>
                </c:pt>
                <c:pt idx="107">
                  <c:v>267.5</c:v>
                </c:pt>
                <c:pt idx="108">
                  <c:v>270</c:v>
                </c:pt>
                <c:pt idx="109">
                  <c:v>272.5</c:v>
                </c:pt>
                <c:pt idx="110">
                  <c:v>275</c:v>
                </c:pt>
              </c:numCache>
            </c:numRef>
          </c:cat>
          <c:val>
            <c:numRef>
              <c:f>Sheet1!$F$5:$F$111</c:f>
              <c:numCache>
                <c:formatCode>General</c:formatCode>
                <c:ptCount val="107"/>
                <c:pt idx="0">
                  <c:v>12806964.17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11947670.02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11677194.84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11717826.27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11961002.050000001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12351877.789999999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12858894.550000001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13462361.189999999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14149285.51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14910736.619999999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15740380.93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16633616.560000001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17587029.809999999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18597916.75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18726402.59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18206083.289999999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17645429.390000001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17045203.649999999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16405625.48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15726450.779999999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15006957.33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14245881.85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13441295.949999999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12590387.35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11689077.4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10731324.92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9707760.2899999991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9-4684-BB2B-DE3E05B96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243359"/>
        <c:axId val="1429498447"/>
      </c:lineChart>
      <c:catAx>
        <c:axId val="106724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498447"/>
        <c:crosses val="autoZero"/>
        <c:auto val="1"/>
        <c:lblAlgn val="ctr"/>
        <c:lblOffset val="100"/>
        <c:noMultiLvlLbl val="0"/>
      </c:catAx>
      <c:valAx>
        <c:axId val="142949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24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29615048118985E-2"/>
          <c:y val="0.17576407115777196"/>
          <c:w val="0.89019685039370078"/>
          <c:h val="0.69973024205307666"/>
        </c:manualLayout>
      </c:layout>
      <c:lineChart>
        <c:grouping val="standard"/>
        <c:varyColors val="0"/>
        <c:ser>
          <c:idx val="0"/>
          <c:order val="0"/>
          <c:tx>
            <c:strRef>
              <c:f>Sheet1!$C$1:$C$4</c:f>
              <c:strCache>
                <c:ptCount val="4"/>
                <c:pt idx="0">
                  <c:v>驱动轮到腿部质心距离</c:v>
                </c:pt>
                <c:pt idx="1">
                  <c:v>\</c:v>
                </c:pt>
                <c:pt idx="2">
                  <c:v>ΔH = 273 mm</c:v>
                </c:pt>
                <c:pt idx="3">
                  <c:v>Unit(mm)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Sheet1!$C$5:$C$111</c:f>
              <c:numCache>
                <c:formatCode>General</c:formatCode>
                <c:ptCount val="107"/>
                <c:pt idx="0">
                  <c:v>64.790000000000006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62.64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61.99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62.15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62.82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63.87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65.180000000000007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66.72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68.42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70.260000000000005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72.22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74.290000000000006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76.430000000000007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78.650000000000006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80.94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83.29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85.69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88.15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90.65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93.19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95.78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98.42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101.09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103.82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106.59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109.42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112.32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18-4AB1-9289-87536C43C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572399"/>
        <c:axId val="1431857551"/>
      </c:lineChart>
      <c:catAx>
        <c:axId val="989572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857551"/>
        <c:crosses val="autoZero"/>
        <c:auto val="1"/>
        <c:lblAlgn val="ctr"/>
        <c:lblOffset val="100"/>
        <c:noMultiLvlLbl val="0"/>
      </c:catAx>
      <c:valAx>
        <c:axId val="143185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57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Sheet1!$E$1:$E$4</c:f>
              <c:strCache>
                <c:ptCount val="4"/>
                <c:pt idx="0">
                  <c:v>机体质心到腿部质心距离（竖直方向）</c:v>
                </c:pt>
                <c:pt idx="1">
                  <c:v>\</c:v>
                </c:pt>
                <c:pt idx="2">
                  <c:v>Beginning with squatting position（轮中心到旋转中心竖直高度为114.88）</c:v>
                </c:pt>
                <c:pt idx="3">
                  <c:v>Unit(mm)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Sheet1!$E$5:$E$111</c:f>
              <c:numCache>
                <c:formatCode>General</c:formatCode>
                <c:ptCount val="107"/>
                <c:pt idx="0">
                  <c:v>49.980000000000004</c:v>
                </c:pt>
                <c:pt idx="1">
                  <c:v>-0.11</c:v>
                </c:pt>
                <c:pt idx="2">
                  <c:v>-0.11</c:v>
                </c:pt>
                <c:pt idx="3">
                  <c:v>-0.11</c:v>
                </c:pt>
                <c:pt idx="4">
                  <c:v>62.13</c:v>
                </c:pt>
                <c:pt idx="5">
                  <c:v>-0.11</c:v>
                </c:pt>
                <c:pt idx="6">
                  <c:v>-0.11</c:v>
                </c:pt>
                <c:pt idx="7">
                  <c:v>-0.11</c:v>
                </c:pt>
                <c:pt idx="8">
                  <c:v>72.78</c:v>
                </c:pt>
                <c:pt idx="9">
                  <c:v>-0.11</c:v>
                </c:pt>
                <c:pt idx="10">
                  <c:v>-0.11</c:v>
                </c:pt>
                <c:pt idx="11">
                  <c:v>-0.11</c:v>
                </c:pt>
                <c:pt idx="12">
                  <c:v>82.62</c:v>
                </c:pt>
                <c:pt idx="13">
                  <c:v>-0.11</c:v>
                </c:pt>
                <c:pt idx="14">
                  <c:v>-0.11</c:v>
                </c:pt>
                <c:pt idx="15">
                  <c:v>-0.11</c:v>
                </c:pt>
                <c:pt idx="16">
                  <c:v>91.95</c:v>
                </c:pt>
                <c:pt idx="17">
                  <c:v>-0.11</c:v>
                </c:pt>
                <c:pt idx="18">
                  <c:v>-0.11</c:v>
                </c:pt>
                <c:pt idx="19">
                  <c:v>-0.11</c:v>
                </c:pt>
                <c:pt idx="20">
                  <c:v>100.9</c:v>
                </c:pt>
                <c:pt idx="21">
                  <c:v>-0.11</c:v>
                </c:pt>
                <c:pt idx="22">
                  <c:v>-0.11</c:v>
                </c:pt>
                <c:pt idx="23">
                  <c:v>-0.11</c:v>
                </c:pt>
                <c:pt idx="24">
                  <c:v>109.59</c:v>
                </c:pt>
                <c:pt idx="25">
                  <c:v>-0.11</c:v>
                </c:pt>
                <c:pt idx="26">
                  <c:v>-0.11</c:v>
                </c:pt>
                <c:pt idx="27">
                  <c:v>-0.11</c:v>
                </c:pt>
                <c:pt idx="28">
                  <c:v>118.05</c:v>
                </c:pt>
                <c:pt idx="29">
                  <c:v>-0.11</c:v>
                </c:pt>
                <c:pt idx="30">
                  <c:v>-0.11</c:v>
                </c:pt>
                <c:pt idx="31">
                  <c:v>-0.11</c:v>
                </c:pt>
                <c:pt idx="32">
                  <c:v>126.35</c:v>
                </c:pt>
                <c:pt idx="33">
                  <c:v>-0.11</c:v>
                </c:pt>
                <c:pt idx="34">
                  <c:v>-0.11</c:v>
                </c:pt>
                <c:pt idx="35">
                  <c:v>-0.11</c:v>
                </c:pt>
                <c:pt idx="36">
                  <c:v>134.51</c:v>
                </c:pt>
                <c:pt idx="37">
                  <c:v>-0.11</c:v>
                </c:pt>
                <c:pt idx="38">
                  <c:v>-0.11</c:v>
                </c:pt>
                <c:pt idx="39">
                  <c:v>-0.11</c:v>
                </c:pt>
                <c:pt idx="40">
                  <c:v>142.54999999999998</c:v>
                </c:pt>
                <c:pt idx="41">
                  <c:v>-0.11</c:v>
                </c:pt>
                <c:pt idx="42">
                  <c:v>-0.11</c:v>
                </c:pt>
                <c:pt idx="43">
                  <c:v>-0.11</c:v>
                </c:pt>
                <c:pt idx="44">
                  <c:v>150.47999999999999</c:v>
                </c:pt>
                <c:pt idx="45">
                  <c:v>-0.11</c:v>
                </c:pt>
                <c:pt idx="46">
                  <c:v>-0.11</c:v>
                </c:pt>
                <c:pt idx="47">
                  <c:v>-0.11</c:v>
                </c:pt>
                <c:pt idx="48">
                  <c:v>158.33999999999997</c:v>
                </c:pt>
                <c:pt idx="49">
                  <c:v>-0.11</c:v>
                </c:pt>
                <c:pt idx="50">
                  <c:v>-0.11</c:v>
                </c:pt>
                <c:pt idx="51">
                  <c:v>-0.11</c:v>
                </c:pt>
                <c:pt idx="52">
                  <c:v>166.11999999999998</c:v>
                </c:pt>
                <c:pt idx="53">
                  <c:v>-0.11</c:v>
                </c:pt>
                <c:pt idx="54">
                  <c:v>-0.11</c:v>
                </c:pt>
                <c:pt idx="55">
                  <c:v>-0.11</c:v>
                </c:pt>
                <c:pt idx="56">
                  <c:v>173.82999999999998</c:v>
                </c:pt>
                <c:pt idx="57">
                  <c:v>-0.11</c:v>
                </c:pt>
                <c:pt idx="58">
                  <c:v>-0.11</c:v>
                </c:pt>
                <c:pt idx="59">
                  <c:v>-0.11</c:v>
                </c:pt>
                <c:pt idx="60">
                  <c:v>181.48</c:v>
                </c:pt>
                <c:pt idx="61">
                  <c:v>-0.11</c:v>
                </c:pt>
                <c:pt idx="62">
                  <c:v>-0.11</c:v>
                </c:pt>
                <c:pt idx="63">
                  <c:v>-0.11</c:v>
                </c:pt>
                <c:pt idx="64">
                  <c:v>189.07999999999998</c:v>
                </c:pt>
                <c:pt idx="65">
                  <c:v>-0.11</c:v>
                </c:pt>
                <c:pt idx="66">
                  <c:v>-0.11</c:v>
                </c:pt>
                <c:pt idx="67">
                  <c:v>-0.11</c:v>
                </c:pt>
                <c:pt idx="68">
                  <c:v>196.61999999999998</c:v>
                </c:pt>
                <c:pt idx="69">
                  <c:v>-0.11</c:v>
                </c:pt>
                <c:pt idx="70">
                  <c:v>-0.11</c:v>
                </c:pt>
                <c:pt idx="71">
                  <c:v>-0.11</c:v>
                </c:pt>
                <c:pt idx="72">
                  <c:v>204.11999999999998</c:v>
                </c:pt>
                <c:pt idx="73">
                  <c:v>-0.11</c:v>
                </c:pt>
                <c:pt idx="74">
                  <c:v>-0.11</c:v>
                </c:pt>
                <c:pt idx="75">
                  <c:v>-0.11</c:v>
                </c:pt>
                <c:pt idx="76">
                  <c:v>211.57999999999998</c:v>
                </c:pt>
                <c:pt idx="77">
                  <c:v>-0.11</c:v>
                </c:pt>
                <c:pt idx="78">
                  <c:v>-0.11</c:v>
                </c:pt>
                <c:pt idx="79">
                  <c:v>-0.11</c:v>
                </c:pt>
                <c:pt idx="80">
                  <c:v>218.98999999999998</c:v>
                </c:pt>
                <c:pt idx="81">
                  <c:v>-0.11</c:v>
                </c:pt>
                <c:pt idx="82">
                  <c:v>-0.11</c:v>
                </c:pt>
                <c:pt idx="83">
                  <c:v>-0.11</c:v>
                </c:pt>
                <c:pt idx="84">
                  <c:v>226.35</c:v>
                </c:pt>
                <c:pt idx="85">
                  <c:v>-0.11</c:v>
                </c:pt>
                <c:pt idx="86">
                  <c:v>-0.11</c:v>
                </c:pt>
                <c:pt idx="87">
                  <c:v>-0.11</c:v>
                </c:pt>
                <c:pt idx="88">
                  <c:v>233.67999999999998</c:v>
                </c:pt>
                <c:pt idx="89">
                  <c:v>-0.11</c:v>
                </c:pt>
                <c:pt idx="90">
                  <c:v>-0.11</c:v>
                </c:pt>
                <c:pt idx="91">
                  <c:v>-0.11</c:v>
                </c:pt>
                <c:pt idx="92">
                  <c:v>240.95</c:v>
                </c:pt>
                <c:pt idx="93">
                  <c:v>-0.11</c:v>
                </c:pt>
                <c:pt idx="94">
                  <c:v>-0.11</c:v>
                </c:pt>
                <c:pt idx="95">
                  <c:v>-0.11</c:v>
                </c:pt>
                <c:pt idx="96">
                  <c:v>248.17999999999998</c:v>
                </c:pt>
                <c:pt idx="97">
                  <c:v>-0.11</c:v>
                </c:pt>
                <c:pt idx="98">
                  <c:v>-0.11</c:v>
                </c:pt>
                <c:pt idx="99">
                  <c:v>-0.11</c:v>
                </c:pt>
                <c:pt idx="100">
                  <c:v>255.35</c:v>
                </c:pt>
                <c:pt idx="101">
                  <c:v>-0.11</c:v>
                </c:pt>
                <c:pt idx="102">
                  <c:v>-0.11</c:v>
                </c:pt>
                <c:pt idx="103">
                  <c:v>-0.11</c:v>
                </c:pt>
                <c:pt idx="104">
                  <c:v>262.45</c:v>
                </c:pt>
                <c:pt idx="105">
                  <c:v>-0.11</c:v>
                </c:pt>
                <c:pt idx="106">
                  <c:v>-0.11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F1-4170-950B-2A211D789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575279"/>
        <c:axId val="1434679871"/>
      </c:lineChart>
      <c:catAx>
        <c:axId val="989575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679871"/>
        <c:crosses val="autoZero"/>
        <c:auto val="1"/>
        <c:lblAlgn val="ctr"/>
        <c:lblOffset val="100"/>
        <c:noMultiLvlLbl val="0"/>
      </c:catAx>
      <c:valAx>
        <c:axId val="143467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575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2411185</xdr:colOff>
      <xdr:row>23</xdr:row>
      <xdr:rowOff>51708</xdr:rowOff>
    </xdr:from>
    <xdr:to>
      <xdr:col>9</xdr:col>
      <xdr:colOff>436789</xdr:colOff>
      <xdr:row>38</xdr:row>
      <xdr:rowOff>80283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42ECD1A-5091-7099-8548-3490DD5B1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2411185</xdr:colOff>
      <xdr:row>38</xdr:row>
      <xdr:rowOff>89808</xdr:rowOff>
    </xdr:from>
    <xdr:to>
      <xdr:col>9</xdr:col>
      <xdr:colOff>436789</xdr:colOff>
      <xdr:row>53</xdr:row>
      <xdr:rowOff>118383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EA71482-9475-E02E-FBF2-51F8CBA3D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2411185</xdr:colOff>
      <xdr:row>4</xdr:row>
      <xdr:rowOff>42183</xdr:rowOff>
    </xdr:from>
    <xdr:to>
      <xdr:col>9</xdr:col>
      <xdr:colOff>436789</xdr:colOff>
      <xdr:row>23</xdr:row>
      <xdr:rowOff>32658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E698CDDA-E805-4CCD-46F6-379E00398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2998-0EBA-472D-B932-D99DFCE84956}">
  <dimension ref="A1:O115"/>
  <sheetViews>
    <sheetView tabSelected="1" topLeftCell="G1" zoomScale="115" zoomScaleNormal="115" workbookViewId="0">
      <selection activeCell="O2" sqref="O2"/>
    </sheetView>
  </sheetViews>
  <sheetFormatPr defaultRowHeight="14.25" x14ac:dyDescent="0.2"/>
  <cols>
    <col min="1" max="1" width="9.75" style="1" bestFit="1" customWidth="1"/>
    <col min="2" max="2" width="11.25" style="1" bestFit="1" customWidth="1"/>
    <col min="3" max="3" width="21.375" style="1" bestFit="1" customWidth="1"/>
    <col min="4" max="4" width="29.625" style="7" bestFit="1" customWidth="1"/>
    <col min="5" max="5" width="36.125" style="1" bestFit="1" customWidth="1"/>
    <col min="6" max="6" width="31.75" style="1" bestFit="1" customWidth="1"/>
    <col min="7" max="7" width="26.625" style="1" bestFit="1" customWidth="1"/>
    <col min="8" max="8" width="15.125" style="1" bestFit="1" customWidth="1"/>
    <col min="9" max="9" width="15.875" style="1" bestFit="1" customWidth="1"/>
    <col min="10" max="10" width="14" style="1" bestFit="1" customWidth="1"/>
    <col min="11" max="11" width="11.875" style="1" bestFit="1" customWidth="1"/>
    <col min="12" max="12" width="11.375" style="1" bestFit="1" customWidth="1"/>
    <col min="13" max="13" width="42.625" style="1" bestFit="1" customWidth="1"/>
    <col min="14" max="14" width="40.5" style="1" bestFit="1" customWidth="1"/>
    <col min="15" max="15" width="27" style="1" bestFit="1" customWidth="1"/>
  </cols>
  <sheetData>
    <row r="1" spans="1:15" ht="16.5" x14ac:dyDescent="0.2">
      <c r="A1" s="13" t="s">
        <v>0</v>
      </c>
      <c r="B1" s="13"/>
      <c r="C1" s="3" t="s">
        <v>1</v>
      </c>
      <c r="D1" s="8" t="s">
        <v>2</v>
      </c>
      <c r="E1" s="4" t="s">
        <v>3</v>
      </c>
      <c r="F1" s="3" t="s">
        <v>4</v>
      </c>
      <c r="G1" s="11" t="s">
        <v>5</v>
      </c>
      <c r="H1" s="2" t="s">
        <v>6</v>
      </c>
      <c r="I1" s="11" t="s">
        <v>7</v>
      </c>
      <c r="J1" s="5" t="s">
        <v>8</v>
      </c>
      <c r="K1" s="5" t="s">
        <v>9</v>
      </c>
      <c r="L1" s="11" t="s">
        <v>10</v>
      </c>
      <c r="M1" s="11" t="s">
        <v>11</v>
      </c>
      <c r="N1" s="11" t="s">
        <v>12</v>
      </c>
      <c r="O1" s="11" t="s">
        <v>13</v>
      </c>
    </row>
    <row r="2" spans="1:15" x14ac:dyDescent="0.2">
      <c r="A2" s="13" t="s">
        <v>14</v>
      </c>
      <c r="B2" s="13"/>
      <c r="C2" s="1" t="s">
        <v>15</v>
      </c>
      <c r="E2" s="1" t="s">
        <v>15</v>
      </c>
      <c r="F2" s="1" t="s">
        <v>15</v>
      </c>
      <c r="G2" s="1">
        <v>1.1000000000000001E-3</v>
      </c>
      <c r="H2" s="1">
        <v>0.1</v>
      </c>
      <c r="I2" s="1">
        <v>0.24</v>
      </c>
      <c r="J2" s="1">
        <v>308</v>
      </c>
      <c r="K2" s="1">
        <v>1800</v>
      </c>
      <c r="L2" s="1">
        <v>15000</v>
      </c>
      <c r="M2" s="1">
        <f>1357370.14+465600</f>
        <v>1822970.14</v>
      </c>
      <c r="N2" s="1">
        <v>341778532.54000002</v>
      </c>
      <c r="O2" s="1">
        <v>656240632.09000003</v>
      </c>
    </row>
    <row r="3" spans="1:15" ht="82.5" customHeight="1" x14ac:dyDescent="0.2">
      <c r="A3" s="14" t="s">
        <v>16</v>
      </c>
      <c r="B3" s="14"/>
      <c r="C3" s="10" t="s">
        <v>17</v>
      </c>
      <c r="D3" s="10" t="s">
        <v>18</v>
      </c>
      <c r="E3" s="9" t="s">
        <v>19</v>
      </c>
      <c r="F3" s="9">
        <v>114.88</v>
      </c>
      <c r="G3" s="1" t="e" vm="1">
        <v>#VALUE!</v>
      </c>
      <c r="O3" s="1" t="s">
        <v>20</v>
      </c>
    </row>
    <row r="4" spans="1:15" x14ac:dyDescent="0.2">
      <c r="A4" s="6" t="s">
        <v>21</v>
      </c>
      <c r="B4" s="6" t="s">
        <v>22</v>
      </c>
      <c r="C4" s="1" t="s">
        <v>23</v>
      </c>
      <c r="D4" s="7" t="s">
        <v>24</v>
      </c>
      <c r="E4" s="1" t="s">
        <v>23</v>
      </c>
      <c r="F4" s="1" t="s">
        <v>25</v>
      </c>
      <c r="G4" s="12" t="s">
        <v>26</v>
      </c>
      <c r="H4" s="12" t="s">
        <v>27</v>
      </c>
      <c r="I4" s="12" t="s">
        <v>28</v>
      </c>
      <c r="J4" s="12" t="s">
        <v>29</v>
      </c>
    </row>
    <row r="5" spans="1:15" x14ac:dyDescent="0.2">
      <c r="A5" s="1">
        <v>0</v>
      </c>
      <c r="B5" s="1">
        <f>114.88+A5</f>
        <v>114.88</v>
      </c>
      <c r="C5" s="1">
        <v>64.790000000000006</v>
      </c>
      <c r="D5" s="7">
        <v>50.09</v>
      </c>
      <c r="E5" s="1">
        <f>D5-0.11</f>
        <v>49.980000000000004</v>
      </c>
      <c r="F5" s="1">
        <v>12806964.17</v>
      </c>
    </row>
    <row r="6" spans="1:15" x14ac:dyDescent="0.2">
      <c r="A6" s="1">
        <v>2.5</v>
      </c>
      <c r="B6" s="1">
        <f t="shared" ref="B6:B69" si="0">114.88+A6</f>
        <v>117.38</v>
      </c>
      <c r="C6" s="1">
        <v>0</v>
      </c>
      <c r="D6" s="7">
        <v>0</v>
      </c>
      <c r="E6" s="1">
        <f t="shared" ref="E6:E69" si="1">D6-0.11</f>
        <v>-0.11</v>
      </c>
      <c r="F6" s="1">
        <v>0</v>
      </c>
    </row>
    <row r="7" spans="1:15" x14ac:dyDescent="0.2">
      <c r="A7" s="1">
        <v>5</v>
      </c>
      <c r="B7" s="1">
        <f t="shared" si="0"/>
        <v>119.88</v>
      </c>
      <c r="C7" s="1">
        <v>0</v>
      </c>
      <c r="D7" s="7">
        <v>0</v>
      </c>
      <c r="E7" s="1">
        <f t="shared" si="1"/>
        <v>-0.11</v>
      </c>
      <c r="F7" s="1">
        <v>0</v>
      </c>
    </row>
    <row r="8" spans="1:15" x14ac:dyDescent="0.2">
      <c r="A8" s="1">
        <v>7.5</v>
      </c>
      <c r="B8" s="1">
        <f t="shared" si="0"/>
        <v>122.38</v>
      </c>
      <c r="C8" s="1">
        <v>0</v>
      </c>
      <c r="D8" s="7">
        <v>0</v>
      </c>
      <c r="E8" s="1">
        <f t="shared" si="1"/>
        <v>-0.11</v>
      </c>
      <c r="F8" s="1">
        <v>0</v>
      </c>
    </row>
    <row r="9" spans="1:15" x14ac:dyDescent="0.2">
      <c r="A9" s="1">
        <v>10</v>
      </c>
      <c r="B9" s="1">
        <f t="shared" si="0"/>
        <v>124.88</v>
      </c>
      <c r="C9" s="1">
        <v>62.64</v>
      </c>
      <c r="D9" s="7">
        <v>62.24</v>
      </c>
      <c r="E9" s="1">
        <f t="shared" si="1"/>
        <v>62.13</v>
      </c>
      <c r="F9" s="1">
        <v>11947670.02</v>
      </c>
    </row>
    <row r="10" spans="1:15" x14ac:dyDescent="0.2">
      <c r="A10" s="1">
        <v>12.5</v>
      </c>
      <c r="B10" s="1">
        <f t="shared" si="0"/>
        <v>127.38</v>
      </c>
      <c r="C10" s="1">
        <v>0</v>
      </c>
      <c r="D10" s="7">
        <v>0</v>
      </c>
      <c r="E10" s="1">
        <f t="shared" si="1"/>
        <v>-0.11</v>
      </c>
      <c r="F10" s="1">
        <v>0</v>
      </c>
    </row>
    <row r="11" spans="1:15" x14ac:dyDescent="0.2">
      <c r="A11" s="1">
        <v>15</v>
      </c>
      <c r="B11" s="1">
        <f t="shared" si="0"/>
        <v>129.88</v>
      </c>
      <c r="C11" s="1">
        <v>0</v>
      </c>
      <c r="D11" s="7">
        <v>0</v>
      </c>
      <c r="E11" s="1">
        <f t="shared" si="1"/>
        <v>-0.11</v>
      </c>
      <c r="F11" s="1">
        <v>0</v>
      </c>
    </row>
    <row r="12" spans="1:15" x14ac:dyDescent="0.2">
      <c r="A12" s="1">
        <v>17.5</v>
      </c>
      <c r="B12" s="1">
        <f t="shared" si="0"/>
        <v>132.38</v>
      </c>
      <c r="C12" s="1">
        <v>0</v>
      </c>
      <c r="D12" s="7">
        <v>0</v>
      </c>
      <c r="E12" s="1">
        <f t="shared" si="1"/>
        <v>-0.11</v>
      </c>
      <c r="F12" s="1">
        <v>0</v>
      </c>
    </row>
    <row r="13" spans="1:15" x14ac:dyDescent="0.2">
      <c r="A13" s="1">
        <v>20</v>
      </c>
      <c r="B13" s="1">
        <f t="shared" si="0"/>
        <v>134.88</v>
      </c>
      <c r="C13" s="1">
        <v>61.99</v>
      </c>
      <c r="D13" s="7">
        <v>72.89</v>
      </c>
      <c r="E13" s="1">
        <f t="shared" si="1"/>
        <v>72.78</v>
      </c>
      <c r="F13" s="1">
        <v>11677194.84</v>
      </c>
    </row>
    <row r="14" spans="1:15" x14ac:dyDescent="0.2">
      <c r="A14" s="1">
        <v>22.5</v>
      </c>
      <c r="B14" s="1">
        <f t="shared" si="0"/>
        <v>137.38</v>
      </c>
      <c r="C14" s="1">
        <v>0</v>
      </c>
      <c r="D14" s="7">
        <v>0</v>
      </c>
      <c r="E14" s="1">
        <f t="shared" si="1"/>
        <v>-0.11</v>
      </c>
      <c r="F14" s="1">
        <v>0</v>
      </c>
    </row>
    <row r="15" spans="1:15" x14ac:dyDescent="0.2">
      <c r="A15" s="1">
        <v>25</v>
      </c>
      <c r="B15" s="1">
        <f t="shared" si="0"/>
        <v>139.88</v>
      </c>
      <c r="C15" s="1">
        <v>0</v>
      </c>
      <c r="D15" s="7">
        <v>0</v>
      </c>
      <c r="E15" s="1">
        <f t="shared" si="1"/>
        <v>-0.11</v>
      </c>
      <c r="F15" s="1">
        <v>0</v>
      </c>
    </row>
    <row r="16" spans="1:15" x14ac:dyDescent="0.2">
      <c r="A16" s="1">
        <v>27.5</v>
      </c>
      <c r="B16" s="1">
        <f t="shared" si="0"/>
        <v>142.38</v>
      </c>
      <c r="C16" s="1">
        <v>0</v>
      </c>
      <c r="D16" s="7">
        <v>0</v>
      </c>
      <c r="E16" s="1">
        <f t="shared" si="1"/>
        <v>-0.11</v>
      </c>
      <c r="F16" s="1">
        <v>0</v>
      </c>
    </row>
    <row r="17" spans="1:6" x14ac:dyDescent="0.2">
      <c r="A17" s="1">
        <v>30</v>
      </c>
      <c r="B17" s="1">
        <f t="shared" si="0"/>
        <v>144.88</v>
      </c>
      <c r="C17" s="1">
        <v>62.15</v>
      </c>
      <c r="D17" s="7">
        <v>82.73</v>
      </c>
      <c r="E17" s="1">
        <f t="shared" si="1"/>
        <v>82.62</v>
      </c>
      <c r="F17" s="1">
        <v>11717826.27</v>
      </c>
    </row>
    <row r="18" spans="1:6" x14ac:dyDescent="0.2">
      <c r="A18" s="1">
        <v>32.5</v>
      </c>
      <c r="B18" s="1">
        <f t="shared" si="0"/>
        <v>147.38</v>
      </c>
      <c r="C18" s="1">
        <v>0</v>
      </c>
      <c r="D18" s="7">
        <v>0</v>
      </c>
      <c r="E18" s="1">
        <f t="shared" si="1"/>
        <v>-0.11</v>
      </c>
      <c r="F18" s="1">
        <v>0</v>
      </c>
    </row>
    <row r="19" spans="1:6" x14ac:dyDescent="0.2">
      <c r="A19" s="1">
        <v>35</v>
      </c>
      <c r="B19" s="1">
        <f t="shared" si="0"/>
        <v>149.88</v>
      </c>
      <c r="C19" s="1">
        <v>0</v>
      </c>
      <c r="D19" s="7">
        <v>0</v>
      </c>
      <c r="E19" s="1">
        <f t="shared" si="1"/>
        <v>-0.11</v>
      </c>
      <c r="F19" s="1">
        <v>0</v>
      </c>
    </row>
    <row r="20" spans="1:6" x14ac:dyDescent="0.2">
      <c r="A20" s="1">
        <v>37.5</v>
      </c>
      <c r="B20" s="1">
        <f t="shared" si="0"/>
        <v>152.38</v>
      </c>
      <c r="C20" s="1">
        <v>0</v>
      </c>
      <c r="D20" s="7">
        <v>0</v>
      </c>
      <c r="E20" s="1">
        <f t="shared" si="1"/>
        <v>-0.11</v>
      </c>
      <c r="F20" s="1">
        <v>0</v>
      </c>
    </row>
    <row r="21" spans="1:6" x14ac:dyDescent="0.2">
      <c r="A21" s="1">
        <v>40</v>
      </c>
      <c r="B21" s="1">
        <f t="shared" si="0"/>
        <v>154.88</v>
      </c>
      <c r="C21" s="1">
        <v>62.82</v>
      </c>
      <c r="D21" s="7">
        <v>92.06</v>
      </c>
      <c r="E21" s="1">
        <f t="shared" si="1"/>
        <v>91.95</v>
      </c>
      <c r="F21" s="1">
        <v>11961002.050000001</v>
      </c>
    </row>
    <row r="22" spans="1:6" x14ac:dyDescent="0.2">
      <c r="A22" s="1">
        <v>42.5</v>
      </c>
      <c r="B22" s="1">
        <f t="shared" si="0"/>
        <v>157.38</v>
      </c>
      <c r="C22" s="1">
        <v>0</v>
      </c>
      <c r="D22" s="7">
        <v>0</v>
      </c>
      <c r="E22" s="1">
        <f t="shared" si="1"/>
        <v>-0.11</v>
      </c>
      <c r="F22" s="1">
        <v>0</v>
      </c>
    </row>
    <row r="23" spans="1:6" x14ac:dyDescent="0.2">
      <c r="A23" s="1">
        <v>45</v>
      </c>
      <c r="B23" s="1">
        <f t="shared" si="0"/>
        <v>159.88</v>
      </c>
      <c r="C23" s="1">
        <v>0</v>
      </c>
      <c r="D23" s="7">
        <v>0</v>
      </c>
      <c r="E23" s="1">
        <f t="shared" si="1"/>
        <v>-0.11</v>
      </c>
      <c r="F23" s="1">
        <v>0</v>
      </c>
    </row>
    <row r="24" spans="1:6" x14ac:dyDescent="0.2">
      <c r="A24" s="1">
        <v>47.5</v>
      </c>
      <c r="B24" s="1">
        <f t="shared" si="0"/>
        <v>162.38</v>
      </c>
      <c r="C24" s="1">
        <v>0</v>
      </c>
      <c r="D24" s="7">
        <v>0</v>
      </c>
      <c r="E24" s="1">
        <f t="shared" si="1"/>
        <v>-0.11</v>
      </c>
      <c r="F24" s="1">
        <v>0</v>
      </c>
    </row>
    <row r="25" spans="1:6" x14ac:dyDescent="0.2">
      <c r="A25" s="1">
        <v>50</v>
      </c>
      <c r="B25" s="1">
        <f t="shared" si="0"/>
        <v>164.88</v>
      </c>
      <c r="C25" s="1">
        <v>63.87</v>
      </c>
      <c r="D25" s="7">
        <v>101.01</v>
      </c>
      <c r="E25" s="1">
        <f t="shared" si="1"/>
        <v>100.9</v>
      </c>
      <c r="F25" s="1">
        <v>12351877.789999999</v>
      </c>
    </row>
    <row r="26" spans="1:6" x14ac:dyDescent="0.2">
      <c r="A26" s="1">
        <v>52.5</v>
      </c>
      <c r="B26" s="1">
        <f t="shared" si="0"/>
        <v>167.38</v>
      </c>
      <c r="C26" s="1">
        <v>0</v>
      </c>
      <c r="D26" s="7">
        <v>0</v>
      </c>
      <c r="E26" s="1">
        <f t="shared" si="1"/>
        <v>-0.11</v>
      </c>
      <c r="F26" s="1">
        <v>0</v>
      </c>
    </row>
    <row r="27" spans="1:6" x14ac:dyDescent="0.2">
      <c r="A27" s="1">
        <v>55</v>
      </c>
      <c r="B27" s="1">
        <f t="shared" si="0"/>
        <v>169.88</v>
      </c>
      <c r="C27" s="1">
        <v>0</v>
      </c>
      <c r="D27" s="7">
        <v>0</v>
      </c>
      <c r="E27" s="1">
        <f t="shared" si="1"/>
        <v>-0.11</v>
      </c>
      <c r="F27" s="1">
        <v>0</v>
      </c>
    </row>
    <row r="28" spans="1:6" x14ac:dyDescent="0.2">
      <c r="A28" s="1">
        <v>57.5</v>
      </c>
      <c r="B28" s="1">
        <f t="shared" si="0"/>
        <v>172.38</v>
      </c>
      <c r="C28" s="1">
        <v>0</v>
      </c>
      <c r="D28" s="7">
        <v>0</v>
      </c>
      <c r="E28" s="1">
        <f t="shared" si="1"/>
        <v>-0.11</v>
      </c>
      <c r="F28" s="1">
        <v>0</v>
      </c>
    </row>
    <row r="29" spans="1:6" x14ac:dyDescent="0.2">
      <c r="A29" s="1">
        <v>60</v>
      </c>
      <c r="B29" s="1">
        <f t="shared" si="0"/>
        <v>174.88</v>
      </c>
      <c r="C29" s="1">
        <v>65.180000000000007</v>
      </c>
      <c r="D29" s="7">
        <v>109.7</v>
      </c>
      <c r="E29" s="1">
        <f t="shared" si="1"/>
        <v>109.59</v>
      </c>
      <c r="F29" s="1">
        <v>12858894.550000001</v>
      </c>
    </row>
    <row r="30" spans="1:6" x14ac:dyDescent="0.2">
      <c r="A30" s="1">
        <v>62.5</v>
      </c>
      <c r="B30" s="1">
        <f t="shared" si="0"/>
        <v>177.38</v>
      </c>
      <c r="C30" s="1">
        <v>0</v>
      </c>
      <c r="D30" s="7">
        <v>0</v>
      </c>
      <c r="E30" s="1">
        <f t="shared" si="1"/>
        <v>-0.11</v>
      </c>
      <c r="F30" s="1">
        <v>0</v>
      </c>
    </row>
    <row r="31" spans="1:6" x14ac:dyDescent="0.2">
      <c r="A31" s="1">
        <v>65</v>
      </c>
      <c r="B31" s="1">
        <f t="shared" si="0"/>
        <v>179.88</v>
      </c>
      <c r="C31" s="1">
        <v>0</v>
      </c>
      <c r="D31" s="7">
        <v>0</v>
      </c>
      <c r="E31" s="1">
        <f t="shared" si="1"/>
        <v>-0.11</v>
      </c>
      <c r="F31" s="1">
        <v>0</v>
      </c>
    </row>
    <row r="32" spans="1:6" x14ac:dyDescent="0.2">
      <c r="A32" s="1">
        <v>67.5</v>
      </c>
      <c r="B32" s="1">
        <f t="shared" si="0"/>
        <v>182.38</v>
      </c>
      <c r="C32" s="1">
        <v>0</v>
      </c>
      <c r="D32" s="7">
        <v>0</v>
      </c>
      <c r="E32" s="1">
        <f t="shared" si="1"/>
        <v>-0.11</v>
      </c>
      <c r="F32" s="1">
        <v>0</v>
      </c>
    </row>
    <row r="33" spans="1:6" x14ac:dyDescent="0.2">
      <c r="A33" s="1">
        <v>70</v>
      </c>
      <c r="B33" s="1">
        <f t="shared" si="0"/>
        <v>184.88</v>
      </c>
      <c r="C33" s="1">
        <v>66.72</v>
      </c>
      <c r="D33" s="7">
        <v>118.16</v>
      </c>
      <c r="E33" s="1">
        <f t="shared" si="1"/>
        <v>118.05</v>
      </c>
      <c r="F33" s="1">
        <v>13462361.189999999</v>
      </c>
    </row>
    <row r="34" spans="1:6" x14ac:dyDescent="0.2">
      <c r="A34" s="1">
        <v>72.5</v>
      </c>
      <c r="B34" s="1">
        <f t="shared" si="0"/>
        <v>187.38</v>
      </c>
      <c r="C34" s="1">
        <v>0</v>
      </c>
      <c r="D34" s="7">
        <v>0</v>
      </c>
      <c r="E34" s="1">
        <f t="shared" si="1"/>
        <v>-0.11</v>
      </c>
      <c r="F34" s="1">
        <v>0</v>
      </c>
    </row>
    <row r="35" spans="1:6" x14ac:dyDescent="0.2">
      <c r="A35" s="1">
        <v>75</v>
      </c>
      <c r="B35" s="1">
        <f t="shared" si="0"/>
        <v>189.88</v>
      </c>
      <c r="C35" s="1">
        <v>0</v>
      </c>
      <c r="D35" s="7">
        <v>0</v>
      </c>
      <c r="E35" s="1">
        <f t="shared" si="1"/>
        <v>-0.11</v>
      </c>
      <c r="F35" s="1">
        <v>0</v>
      </c>
    </row>
    <row r="36" spans="1:6" x14ac:dyDescent="0.2">
      <c r="A36" s="1">
        <v>77.5</v>
      </c>
      <c r="B36" s="1">
        <f t="shared" si="0"/>
        <v>192.38</v>
      </c>
      <c r="C36" s="1">
        <v>0</v>
      </c>
      <c r="D36" s="7">
        <v>0</v>
      </c>
      <c r="E36" s="1">
        <f t="shared" si="1"/>
        <v>-0.11</v>
      </c>
      <c r="F36" s="1">
        <v>0</v>
      </c>
    </row>
    <row r="37" spans="1:6" x14ac:dyDescent="0.2">
      <c r="A37" s="1">
        <v>80</v>
      </c>
      <c r="B37" s="1">
        <f t="shared" si="0"/>
        <v>194.88</v>
      </c>
      <c r="C37" s="1">
        <v>68.42</v>
      </c>
      <c r="D37" s="7">
        <v>126.46</v>
      </c>
      <c r="E37" s="1">
        <f t="shared" si="1"/>
        <v>126.35</v>
      </c>
      <c r="F37" s="1">
        <v>14149285.51</v>
      </c>
    </row>
    <row r="38" spans="1:6" x14ac:dyDescent="0.2">
      <c r="A38" s="1">
        <v>82.5</v>
      </c>
      <c r="B38" s="1">
        <f t="shared" si="0"/>
        <v>197.38</v>
      </c>
      <c r="C38" s="1">
        <v>0</v>
      </c>
      <c r="D38" s="7">
        <v>0</v>
      </c>
      <c r="E38" s="1">
        <f t="shared" si="1"/>
        <v>-0.11</v>
      </c>
      <c r="F38" s="1">
        <v>0</v>
      </c>
    </row>
    <row r="39" spans="1:6" x14ac:dyDescent="0.2">
      <c r="A39" s="1">
        <v>85</v>
      </c>
      <c r="B39" s="1">
        <f t="shared" si="0"/>
        <v>199.88</v>
      </c>
      <c r="C39" s="1">
        <v>0</v>
      </c>
      <c r="D39" s="7">
        <v>0</v>
      </c>
      <c r="E39" s="1">
        <f t="shared" si="1"/>
        <v>-0.11</v>
      </c>
      <c r="F39" s="1">
        <v>0</v>
      </c>
    </row>
    <row r="40" spans="1:6" x14ac:dyDescent="0.2">
      <c r="A40" s="1">
        <v>87.5</v>
      </c>
      <c r="B40" s="1">
        <f t="shared" si="0"/>
        <v>202.38</v>
      </c>
      <c r="C40" s="1">
        <v>0</v>
      </c>
      <c r="D40" s="7">
        <v>0</v>
      </c>
      <c r="E40" s="1">
        <f t="shared" si="1"/>
        <v>-0.11</v>
      </c>
      <c r="F40" s="1">
        <v>0</v>
      </c>
    </row>
    <row r="41" spans="1:6" x14ac:dyDescent="0.2">
      <c r="A41" s="1">
        <v>90</v>
      </c>
      <c r="B41" s="1">
        <f t="shared" si="0"/>
        <v>204.88</v>
      </c>
      <c r="C41" s="1">
        <v>70.260000000000005</v>
      </c>
      <c r="D41" s="7">
        <v>134.62</v>
      </c>
      <c r="E41" s="1">
        <f t="shared" si="1"/>
        <v>134.51</v>
      </c>
      <c r="F41" s="1">
        <v>14910736.619999999</v>
      </c>
    </row>
    <row r="42" spans="1:6" x14ac:dyDescent="0.2">
      <c r="A42" s="1">
        <v>92.5</v>
      </c>
      <c r="B42" s="1">
        <f t="shared" si="0"/>
        <v>207.38</v>
      </c>
      <c r="C42" s="1">
        <v>0</v>
      </c>
      <c r="D42" s="7">
        <v>0</v>
      </c>
      <c r="E42" s="1">
        <f t="shared" si="1"/>
        <v>-0.11</v>
      </c>
      <c r="F42" s="1">
        <v>0</v>
      </c>
    </row>
    <row r="43" spans="1:6" x14ac:dyDescent="0.2">
      <c r="A43" s="1">
        <v>95</v>
      </c>
      <c r="B43" s="1">
        <f t="shared" si="0"/>
        <v>209.88</v>
      </c>
      <c r="C43" s="1">
        <v>0</v>
      </c>
      <c r="D43" s="7">
        <v>0</v>
      </c>
      <c r="E43" s="1">
        <f t="shared" si="1"/>
        <v>-0.11</v>
      </c>
      <c r="F43" s="1">
        <v>0</v>
      </c>
    </row>
    <row r="44" spans="1:6" x14ac:dyDescent="0.2">
      <c r="A44" s="1">
        <v>97.5</v>
      </c>
      <c r="B44" s="1">
        <f t="shared" si="0"/>
        <v>212.38</v>
      </c>
      <c r="C44" s="1">
        <v>0</v>
      </c>
      <c r="D44" s="7">
        <v>0</v>
      </c>
      <c r="E44" s="1">
        <f t="shared" si="1"/>
        <v>-0.11</v>
      </c>
      <c r="F44" s="1">
        <v>0</v>
      </c>
    </row>
    <row r="45" spans="1:6" x14ac:dyDescent="0.2">
      <c r="A45" s="1">
        <v>100</v>
      </c>
      <c r="B45" s="1">
        <f t="shared" si="0"/>
        <v>214.88</v>
      </c>
      <c r="C45" s="1">
        <v>72.22</v>
      </c>
      <c r="D45" s="7">
        <v>142.66</v>
      </c>
      <c r="E45" s="1">
        <f t="shared" si="1"/>
        <v>142.54999999999998</v>
      </c>
      <c r="F45" s="1">
        <v>15740380.93</v>
      </c>
    </row>
    <row r="46" spans="1:6" x14ac:dyDescent="0.2">
      <c r="A46" s="1">
        <v>102.5</v>
      </c>
      <c r="B46" s="1">
        <f t="shared" si="0"/>
        <v>217.38</v>
      </c>
      <c r="C46" s="1">
        <v>0</v>
      </c>
      <c r="D46" s="7">
        <v>0</v>
      </c>
      <c r="E46" s="1">
        <f t="shared" si="1"/>
        <v>-0.11</v>
      </c>
      <c r="F46" s="1">
        <v>0</v>
      </c>
    </row>
    <row r="47" spans="1:6" x14ac:dyDescent="0.2">
      <c r="A47" s="1">
        <v>105</v>
      </c>
      <c r="B47" s="1">
        <f t="shared" si="0"/>
        <v>219.88</v>
      </c>
      <c r="C47" s="1">
        <v>0</v>
      </c>
      <c r="D47" s="7">
        <v>0</v>
      </c>
      <c r="E47" s="1">
        <f t="shared" si="1"/>
        <v>-0.11</v>
      </c>
      <c r="F47" s="1">
        <v>0</v>
      </c>
    </row>
    <row r="48" spans="1:6" x14ac:dyDescent="0.2">
      <c r="A48" s="1">
        <v>107.5</v>
      </c>
      <c r="B48" s="1">
        <f t="shared" si="0"/>
        <v>222.38</v>
      </c>
      <c r="C48" s="1">
        <v>0</v>
      </c>
      <c r="D48" s="7">
        <v>0</v>
      </c>
      <c r="E48" s="1">
        <f t="shared" si="1"/>
        <v>-0.11</v>
      </c>
      <c r="F48" s="1">
        <v>0</v>
      </c>
    </row>
    <row r="49" spans="1:6" x14ac:dyDescent="0.2">
      <c r="A49" s="1">
        <v>110</v>
      </c>
      <c r="B49" s="1">
        <f t="shared" si="0"/>
        <v>224.88</v>
      </c>
      <c r="C49" s="1">
        <v>74.290000000000006</v>
      </c>
      <c r="D49" s="7">
        <v>150.59</v>
      </c>
      <c r="E49" s="1">
        <f t="shared" si="1"/>
        <v>150.47999999999999</v>
      </c>
      <c r="F49" s="1">
        <v>16633616.560000001</v>
      </c>
    </row>
    <row r="50" spans="1:6" x14ac:dyDescent="0.2">
      <c r="A50" s="1">
        <v>112.5</v>
      </c>
      <c r="B50" s="1">
        <f t="shared" si="0"/>
        <v>227.38</v>
      </c>
      <c r="C50" s="1">
        <v>0</v>
      </c>
      <c r="D50" s="7">
        <v>0</v>
      </c>
      <c r="E50" s="1">
        <f t="shared" si="1"/>
        <v>-0.11</v>
      </c>
      <c r="F50" s="1">
        <v>0</v>
      </c>
    </row>
    <row r="51" spans="1:6" x14ac:dyDescent="0.2">
      <c r="A51" s="1">
        <v>115</v>
      </c>
      <c r="B51" s="1">
        <f t="shared" si="0"/>
        <v>229.88</v>
      </c>
      <c r="C51" s="1">
        <v>0</v>
      </c>
      <c r="D51" s="7">
        <v>0</v>
      </c>
      <c r="E51" s="1">
        <f t="shared" si="1"/>
        <v>-0.11</v>
      </c>
      <c r="F51" s="1">
        <v>0</v>
      </c>
    </row>
    <row r="52" spans="1:6" x14ac:dyDescent="0.2">
      <c r="A52" s="1">
        <v>117.5</v>
      </c>
      <c r="B52" s="1">
        <f t="shared" si="0"/>
        <v>232.38</v>
      </c>
      <c r="C52" s="1">
        <v>0</v>
      </c>
      <c r="D52" s="7">
        <v>0</v>
      </c>
      <c r="E52" s="1">
        <f t="shared" si="1"/>
        <v>-0.11</v>
      </c>
      <c r="F52" s="1">
        <v>0</v>
      </c>
    </row>
    <row r="53" spans="1:6" x14ac:dyDescent="0.2">
      <c r="A53" s="1">
        <v>120</v>
      </c>
      <c r="B53" s="1">
        <f t="shared" si="0"/>
        <v>234.88</v>
      </c>
      <c r="C53" s="1">
        <v>76.430000000000007</v>
      </c>
      <c r="D53" s="7">
        <v>158.44999999999999</v>
      </c>
      <c r="E53" s="1">
        <f t="shared" si="1"/>
        <v>158.33999999999997</v>
      </c>
      <c r="F53" s="1">
        <v>17587029.809999999</v>
      </c>
    </row>
    <row r="54" spans="1:6" x14ac:dyDescent="0.2">
      <c r="A54" s="1">
        <v>122.5</v>
      </c>
      <c r="B54" s="1">
        <f t="shared" si="0"/>
        <v>237.38</v>
      </c>
      <c r="C54" s="1">
        <v>0</v>
      </c>
      <c r="D54" s="7">
        <v>0</v>
      </c>
      <c r="E54" s="1">
        <f t="shared" si="1"/>
        <v>-0.11</v>
      </c>
      <c r="F54" s="1">
        <v>0</v>
      </c>
    </row>
    <row r="55" spans="1:6" x14ac:dyDescent="0.2">
      <c r="A55" s="1">
        <v>125</v>
      </c>
      <c r="B55" s="1">
        <f t="shared" si="0"/>
        <v>239.88</v>
      </c>
      <c r="C55" s="1">
        <v>0</v>
      </c>
      <c r="D55" s="7">
        <v>0</v>
      </c>
      <c r="E55" s="1">
        <f t="shared" si="1"/>
        <v>-0.11</v>
      </c>
      <c r="F55" s="1">
        <v>0</v>
      </c>
    </row>
    <row r="56" spans="1:6" x14ac:dyDescent="0.2">
      <c r="A56" s="1">
        <v>127.5</v>
      </c>
      <c r="B56" s="1">
        <f t="shared" si="0"/>
        <v>242.38</v>
      </c>
      <c r="C56" s="1">
        <v>0</v>
      </c>
      <c r="D56" s="7">
        <v>0</v>
      </c>
      <c r="E56" s="1">
        <f t="shared" si="1"/>
        <v>-0.11</v>
      </c>
      <c r="F56" s="1">
        <v>0</v>
      </c>
    </row>
    <row r="57" spans="1:6" x14ac:dyDescent="0.2">
      <c r="A57" s="1">
        <v>130</v>
      </c>
      <c r="B57" s="1">
        <f t="shared" si="0"/>
        <v>244.88</v>
      </c>
      <c r="C57" s="1">
        <v>78.650000000000006</v>
      </c>
      <c r="D57" s="7">
        <v>166.23</v>
      </c>
      <c r="E57" s="1">
        <f t="shared" si="1"/>
        <v>166.11999999999998</v>
      </c>
      <c r="F57" s="1">
        <v>18597916.75</v>
      </c>
    </row>
    <row r="58" spans="1:6" x14ac:dyDescent="0.2">
      <c r="A58" s="1">
        <v>132.5</v>
      </c>
      <c r="B58" s="1">
        <f t="shared" si="0"/>
        <v>247.38</v>
      </c>
      <c r="C58" s="1">
        <v>0</v>
      </c>
      <c r="D58" s="7">
        <v>0</v>
      </c>
      <c r="E58" s="1">
        <f t="shared" si="1"/>
        <v>-0.11</v>
      </c>
      <c r="F58" s="1">
        <v>0</v>
      </c>
    </row>
    <row r="59" spans="1:6" x14ac:dyDescent="0.2">
      <c r="A59" s="1">
        <v>135</v>
      </c>
      <c r="B59" s="1">
        <f t="shared" si="0"/>
        <v>249.88</v>
      </c>
      <c r="C59" s="1">
        <v>0</v>
      </c>
      <c r="D59" s="7">
        <v>0</v>
      </c>
      <c r="E59" s="1">
        <f t="shared" si="1"/>
        <v>-0.11</v>
      </c>
      <c r="F59" s="1">
        <v>0</v>
      </c>
    </row>
    <row r="60" spans="1:6" x14ac:dyDescent="0.2">
      <c r="A60" s="1">
        <v>137.5</v>
      </c>
      <c r="B60" s="1">
        <f t="shared" si="0"/>
        <v>252.38</v>
      </c>
      <c r="C60" s="1">
        <v>0</v>
      </c>
      <c r="D60" s="7">
        <v>0</v>
      </c>
      <c r="E60" s="1">
        <f t="shared" si="1"/>
        <v>-0.11</v>
      </c>
      <c r="F60" s="1">
        <v>0</v>
      </c>
    </row>
    <row r="61" spans="1:6" x14ac:dyDescent="0.2">
      <c r="A61" s="1">
        <v>140</v>
      </c>
      <c r="B61" s="1">
        <f t="shared" si="0"/>
        <v>254.88</v>
      </c>
      <c r="C61" s="1">
        <v>80.94</v>
      </c>
      <c r="D61" s="7">
        <v>173.94</v>
      </c>
      <c r="E61" s="1">
        <f t="shared" si="1"/>
        <v>173.82999999999998</v>
      </c>
      <c r="F61" s="1">
        <v>18726402.59</v>
      </c>
    </row>
    <row r="62" spans="1:6" x14ac:dyDescent="0.2">
      <c r="A62" s="1">
        <v>142.5</v>
      </c>
      <c r="B62" s="1">
        <f t="shared" si="0"/>
        <v>257.38</v>
      </c>
      <c r="C62" s="1">
        <v>0</v>
      </c>
      <c r="D62" s="7">
        <v>0</v>
      </c>
      <c r="E62" s="1">
        <f t="shared" si="1"/>
        <v>-0.11</v>
      </c>
      <c r="F62" s="1">
        <v>0</v>
      </c>
    </row>
    <row r="63" spans="1:6" x14ac:dyDescent="0.2">
      <c r="A63" s="1">
        <v>145</v>
      </c>
      <c r="B63" s="1">
        <f t="shared" si="0"/>
        <v>259.88</v>
      </c>
      <c r="C63" s="1">
        <v>0</v>
      </c>
      <c r="D63" s="7">
        <v>0</v>
      </c>
      <c r="E63" s="1">
        <f t="shared" si="1"/>
        <v>-0.11</v>
      </c>
      <c r="F63" s="1">
        <v>0</v>
      </c>
    </row>
    <row r="64" spans="1:6" x14ac:dyDescent="0.2">
      <c r="A64" s="1">
        <v>147.5</v>
      </c>
      <c r="B64" s="1">
        <f t="shared" si="0"/>
        <v>262.38</v>
      </c>
      <c r="C64" s="1">
        <v>0</v>
      </c>
      <c r="D64" s="7">
        <v>0</v>
      </c>
      <c r="E64" s="1">
        <f t="shared" si="1"/>
        <v>-0.11</v>
      </c>
      <c r="F64" s="1">
        <v>0</v>
      </c>
    </row>
    <row r="65" spans="1:6" x14ac:dyDescent="0.2">
      <c r="A65" s="1">
        <v>150</v>
      </c>
      <c r="B65" s="1">
        <f t="shared" si="0"/>
        <v>264.88</v>
      </c>
      <c r="C65" s="1">
        <v>83.29</v>
      </c>
      <c r="D65" s="7">
        <v>181.59</v>
      </c>
      <c r="E65" s="1">
        <f t="shared" si="1"/>
        <v>181.48</v>
      </c>
      <c r="F65" s="1">
        <v>18206083.289999999</v>
      </c>
    </row>
    <row r="66" spans="1:6" x14ac:dyDescent="0.2">
      <c r="A66" s="1">
        <v>152.5</v>
      </c>
      <c r="B66" s="1">
        <f t="shared" si="0"/>
        <v>267.38</v>
      </c>
      <c r="C66" s="1">
        <v>0</v>
      </c>
      <c r="D66" s="7">
        <v>0</v>
      </c>
      <c r="E66" s="1">
        <f t="shared" si="1"/>
        <v>-0.11</v>
      </c>
      <c r="F66" s="1">
        <v>0</v>
      </c>
    </row>
    <row r="67" spans="1:6" x14ac:dyDescent="0.2">
      <c r="A67" s="1">
        <v>155</v>
      </c>
      <c r="B67" s="1">
        <f t="shared" si="0"/>
        <v>269.88</v>
      </c>
      <c r="C67" s="1">
        <v>0</v>
      </c>
      <c r="D67" s="7">
        <v>0</v>
      </c>
      <c r="E67" s="1">
        <f t="shared" si="1"/>
        <v>-0.11</v>
      </c>
      <c r="F67" s="1">
        <v>0</v>
      </c>
    </row>
    <row r="68" spans="1:6" x14ac:dyDescent="0.2">
      <c r="A68" s="1">
        <v>157.5</v>
      </c>
      <c r="B68" s="1">
        <f t="shared" si="0"/>
        <v>272.38</v>
      </c>
      <c r="C68" s="1">
        <v>0</v>
      </c>
      <c r="D68" s="7">
        <v>0</v>
      </c>
      <c r="E68" s="1">
        <f t="shared" si="1"/>
        <v>-0.11</v>
      </c>
      <c r="F68" s="1">
        <v>0</v>
      </c>
    </row>
    <row r="69" spans="1:6" x14ac:dyDescent="0.2">
      <c r="A69" s="1">
        <v>160</v>
      </c>
      <c r="B69" s="1">
        <f t="shared" si="0"/>
        <v>274.88</v>
      </c>
      <c r="C69" s="1">
        <v>85.69</v>
      </c>
      <c r="D69" s="7">
        <v>189.19</v>
      </c>
      <c r="E69" s="1">
        <f t="shared" si="1"/>
        <v>189.07999999999998</v>
      </c>
      <c r="F69" s="1">
        <v>17645429.390000001</v>
      </c>
    </row>
    <row r="70" spans="1:6" x14ac:dyDescent="0.2">
      <c r="A70" s="1">
        <v>162.5</v>
      </c>
      <c r="B70" s="1">
        <f t="shared" ref="B70:B115" si="2">114.88+A70</f>
        <v>277.38</v>
      </c>
      <c r="C70" s="1">
        <v>0</v>
      </c>
      <c r="D70" s="7">
        <v>0</v>
      </c>
      <c r="E70" s="1">
        <f t="shared" ref="E70:E115" si="3">D70-0.11</f>
        <v>-0.11</v>
      </c>
      <c r="F70" s="1">
        <v>0</v>
      </c>
    </row>
    <row r="71" spans="1:6" x14ac:dyDescent="0.2">
      <c r="A71" s="1">
        <v>165</v>
      </c>
      <c r="B71" s="1">
        <f t="shared" si="2"/>
        <v>279.88</v>
      </c>
      <c r="C71" s="1">
        <v>0</v>
      </c>
      <c r="D71" s="7">
        <v>0</v>
      </c>
      <c r="E71" s="1">
        <f t="shared" si="3"/>
        <v>-0.11</v>
      </c>
      <c r="F71" s="1">
        <v>0</v>
      </c>
    </row>
    <row r="72" spans="1:6" x14ac:dyDescent="0.2">
      <c r="A72" s="1">
        <v>167.5</v>
      </c>
      <c r="B72" s="1">
        <f t="shared" si="2"/>
        <v>282.38</v>
      </c>
      <c r="C72" s="1">
        <v>0</v>
      </c>
      <c r="D72" s="7">
        <v>0</v>
      </c>
      <c r="E72" s="1">
        <f t="shared" si="3"/>
        <v>-0.11</v>
      </c>
      <c r="F72" s="1">
        <v>0</v>
      </c>
    </row>
    <row r="73" spans="1:6" x14ac:dyDescent="0.2">
      <c r="A73" s="1">
        <v>170</v>
      </c>
      <c r="B73" s="1">
        <f t="shared" si="2"/>
        <v>284.88</v>
      </c>
      <c r="C73" s="1">
        <v>88.15</v>
      </c>
      <c r="D73" s="7">
        <v>196.73</v>
      </c>
      <c r="E73" s="1">
        <f t="shared" si="3"/>
        <v>196.61999999999998</v>
      </c>
      <c r="F73" s="1">
        <v>17045203.649999999</v>
      </c>
    </row>
    <row r="74" spans="1:6" x14ac:dyDescent="0.2">
      <c r="A74" s="1">
        <v>172.5</v>
      </c>
      <c r="B74" s="1">
        <f t="shared" si="2"/>
        <v>287.38</v>
      </c>
      <c r="C74" s="1">
        <v>0</v>
      </c>
      <c r="D74" s="7">
        <v>0</v>
      </c>
      <c r="E74" s="1">
        <f t="shared" si="3"/>
        <v>-0.11</v>
      </c>
      <c r="F74" s="1">
        <v>0</v>
      </c>
    </row>
    <row r="75" spans="1:6" x14ac:dyDescent="0.2">
      <c r="A75" s="1">
        <v>175</v>
      </c>
      <c r="B75" s="1">
        <f t="shared" si="2"/>
        <v>289.88</v>
      </c>
      <c r="C75" s="1">
        <v>0</v>
      </c>
      <c r="D75" s="7">
        <v>0</v>
      </c>
      <c r="E75" s="1">
        <f t="shared" si="3"/>
        <v>-0.11</v>
      </c>
      <c r="F75" s="1">
        <v>0</v>
      </c>
    </row>
    <row r="76" spans="1:6" x14ac:dyDescent="0.2">
      <c r="A76" s="1">
        <v>177.5</v>
      </c>
      <c r="B76" s="1">
        <f t="shared" si="2"/>
        <v>292.38</v>
      </c>
      <c r="C76" s="1">
        <v>0</v>
      </c>
      <c r="D76" s="7">
        <v>0</v>
      </c>
      <c r="E76" s="1">
        <f t="shared" si="3"/>
        <v>-0.11</v>
      </c>
      <c r="F76" s="1">
        <v>0</v>
      </c>
    </row>
    <row r="77" spans="1:6" x14ac:dyDescent="0.2">
      <c r="A77" s="1">
        <v>180</v>
      </c>
      <c r="B77" s="1">
        <f t="shared" si="2"/>
        <v>294.88</v>
      </c>
      <c r="C77" s="1">
        <v>90.65</v>
      </c>
      <c r="D77" s="7">
        <v>204.23</v>
      </c>
      <c r="E77" s="1">
        <f t="shared" si="3"/>
        <v>204.11999999999998</v>
      </c>
      <c r="F77" s="1">
        <v>16405625.48</v>
      </c>
    </row>
    <row r="78" spans="1:6" x14ac:dyDescent="0.2">
      <c r="A78" s="1">
        <v>182.5</v>
      </c>
      <c r="B78" s="1">
        <f t="shared" si="2"/>
        <v>297.38</v>
      </c>
      <c r="C78" s="1">
        <v>0</v>
      </c>
      <c r="D78" s="7">
        <v>0</v>
      </c>
      <c r="E78" s="1">
        <f t="shared" si="3"/>
        <v>-0.11</v>
      </c>
      <c r="F78" s="1">
        <v>0</v>
      </c>
    </row>
    <row r="79" spans="1:6" x14ac:dyDescent="0.2">
      <c r="A79" s="1">
        <v>185</v>
      </c>
      <c r="B79" s="1">
        <f t="shared" si="2"/>
        <v>299.88</v>
      </c>
      <c r="C79" s="1">
        <v>0</v>
      </c>
      <c r="D79" s="7">
        <v>0</v>
      </c>
      <c r="E79" s="1">
        <f t="shared" si="3"/>
        <v>-0.11</v>
      </c>
      <c r="F79" s="1">
        <v>0</v>
      </c>
    </row>
    <row r="80" spans="1:6" x14ac:dyDescent="0.2">
      <c r="A80" s="1">
        <v>187.5</v>
      </c>
      <c r="B80" s="1">
        <f t="shared" si="2"/>
        <v>302.38</v>
      </c>
      <c r="C80" s="1">
        <v>0</v>
      </c>
      <c r="D80" s="7">
        <v>0</v>
      </c>
      <c r="E80" s="1">
        <f t="shared" si="3"/>
        <v>-0.11</v>
      </c>
      <c r="F80" s="1">
        <v>0</v>
      </c>
    </row>
    <row r="81" spans="1:6" x14ac:dyDescent="0.2">
      <c r="A81" s="1">
        <v>190</v>
      </c>
      <c r="B81" s="1">
        <f t="shared" si="2"/>
        <v>304.88</v>
      </c>
      <c r="C81" s="1">
        <v>93.19</v>
      </c>
      <c r="D81" s="7">
        <v>211.69</v>
      </c>
      <c r="E81" s="1">
        <f t="shared" si="3"/>
        <v>211.57999999999998</v>
      </c>
      <c r="F81" s="1">
        <v>15726450.779999999</v>
      </c>
    </row>
    <row r="82" spans="1:6" x14ac:dyDescent="0.2">
      <c r="A82" s="1">
        <v>192.5</v>
      </c>
      <c r="B82" s="1">
        <f t="shared" si="2"/>
        <v>307.38</v>
      </c>
      <c r="C82" s="1">
        <v>0</v>
      </c>
      <c r="D82" s="7">
        <v>0</v>
      </c>
      <c r="E82" s="1">
        <f t="shared" si="3"/>
        <v>-0.11</v>
      </c>
      <c r="F82" s="1">
        <v>0</v>
      </c>
    </row>
    <row r="83" spans="1:6" x14ac:dyDescent="0.2">
      <c r="A83" s="1">
        <v>195</v>
      </c>
      <c r="B83" s="1">
        <f t="shared" si="2"/>
        <v>309.88</v>
      </c>
      <c r="C83" s="1">
        <v>0</v>
      </c>
      <c r="D83" s="7">
        <v>0</v>
      </c>
      <c r="E83" s="1">
        <f t="shared" si="3"/>
        <v>-0.11</v>
      </c>
      <c r="F83" s="1">
        <v>0</v>
      </c>
    </row>
    <row r="84" spans="1:6" x14ac:dyDescent="0.2">
      <c r="A84" s="1">
        <v>197.5</v>
      </c>
      <c r="B84" s="1">
        <f t="shared" si="2"/>
        <v>312.38</v>
      </c>
      <c r="C84" s="1">
        <v>0</v>
      </c>
      <c r="D84" s="7">
        <v>0</v>
      </c>
      <c r="E84" s="1">
        <f t="shared" si="3"/>
        <v>-0.11</v>
      </c>
      <c r="F84" s="1">
        <v>0</v>
      </c>
    </row>
    <row r="85" spans="1:6" x14ac:dyDescent="0.2">
      <c r="A85" s="1">
        <v>200</v>
      </c>
      <c r="B85" s="1">
        <f t="shared" si="2"/>
        <v>314.88</v>
      </c>
      <c r="C85" s="1">
        <v>95.78</v>
      </c>
      <c r="D85" s="7">
        <v>219.1</v>
      </c>
      <c r="E85" s="1">
        <f t="shared" si="3"/>
        <v>218.98999999999998</v>
      </c>
      <c r="F85" s="1">
        <v>15006957.33</v>
      </c>
    </row>
    <row r="86" spans="1:6" x14ac:dyDescent="0.2">
      <c r="A86" s="1">
        <v>202.5</v>
      </c>
      <c r="B86" s="1">
        <f t="shared" si="2"/>
        <v>317.38</v>
      </c>
      <c r="C86" s="1">
        <v>0</v>
      </c>
      <c r="D86" s="7">
        <v>0</v>
      </c>
      <c r="E86" s="1">
        <f t="shared" si="3"/>
        <v>-0.11</v>
      </c>
      <c r="F86" s="1">
        <v>0</v>
      </c>
    </row>
    <row r="87" spans="1:6" x14ac:dyDescent="0.2">
      <c r="A87" s="1">
        <v>205</v>
      </c>
      <c r="B87" s="1">
        <f t="shared" si="2"/>
        <v>319.88</v>
      </c>
      <c r="C87" s="1">
        <v>0</v>
      </c>
      <c r="D87" s="7">
        <v>0</v>
      </c>
      <c r="E87" s="1">
        <f t="shared" si="3"/>
        <v>-0.11</v>
      </c>
      <c r="F87" s="1">
        <v>0</v>
      </c>
    </row>
    <row r="88" spans="1:6" x14ac:dyDescent="0.2">
      <c r="A88" s="1">
        <v>207.5</v>
      </c>
      <c r="B88" s="1">
        <f t="shared" si="2"/>
        <v>322.38</v>
      </c>
      <c r="C88" s="1">
        <v>0</v>
      </c>
      <c r="D88" s="7">
        <v>0</v>
      </c>
      <c r="E88" s="1">
        <f t="shared" si="3"/>
        <v>-0.11</v>
      </c>
      <c r="F88" s="1">
        <v>0</v>
      </c>
    </row>
    <row r="89" spans="1:6" x14ac:dyDescent="0.2">
      <c r="A89" s="1">
        <v>210</v>
      </c>
      <c r="B89" s="1">
        <f t="shared" si="2"/>
        <v>324.88</v>
      </c>
      <c r="C89" s="1">
        <v>98.42</v>
      </c>
      <c r="D89" s="7">
        <v>226.46</v>
      </c>
      <c r="E89" s="1">
        <f t="shared" si="3"/>
        <v>226.35</v>
      </c>
      <c r="F89" s="1">
        <v>14245881.85</v>
      </c>
    </row>
    <row r="90" spans="1:6" x14ac:dyDescent="0.2">
      <c r="A90" s="1">
        <v>212.5</v>
      </c>
      <c r="B90" s="1">
        <f t="shared" si="2"/>
        <v>327.38</v>
      </c>
      <c r="C90" s="1">
        <v>0</v>
      </c>
      <c r="D90" s="7">
        <v>0</v>
      </c>
      <c r="E90" s="1">
        <f t="shared" si="3"/>
        <v>-0.11</v>
      </c>
      <c r="F90" s="1">
        <v>0</v>
      </c>
    </row>
    <row r="91" spans="1:6" x14ac:dyDescent="0.2">
      <c r="A91" s="1">
        <v>215</v>
      </c>
      <c r="B91" s="1">
        <f t="shared" si="2"/>
        <v>329.88</v>
      </c>
      <c r="C91" s="1">
        <v>0</v>
      </c>
      <c r="D91" s="7">
        <v>0</v>
      </c>
      <c r="E91" s="1">
        <f t="shared" si="3"/>
        <v>-0.11</v>
      </c>
      <c r="F91" s="1">
        <v>0</v>
      </c>
    </row>
    <row r="92" spans="1:6" x14ac:dyDescent="0.2">
      <c r="A92" s="1">
        <v>217.5</v>
      </c>
      <c r="B92" s="1">
        <f t="shared" si="2"/>
        <v>332.38</v>
      </c>
      <c r="C92" s="1">
        <v>0</v>
      </c>
      <c r="D92" s="7">
        <v>0</v>
      </c>
      <c r="E92" s="1">
        <f t="shared" si="3"/>
        <v>-0.11</v>
      </c>
      <c r="F92" s="1">
        <v>0</v>
      </c>
    </row>
    <row r="93" spans="1:6" x14ac:dyDescent="0.2">
      <c r="A93" s="1">
        <v>220</v>
      </c>
      <c r="B93" s="1">
        <f t="shared" si="2"/>
        <v>334.88</v>
      </c>
      <c r="C93" s="1">
        <v>101.09</v>
      </c>
      <c r="D93" s="7">
        <v>233.79</v>
      </c>
      <c r="E93" s="1">
        <f t="shared" si="3"/>
        <v>233.67999999999998</v>
      </c>
      <c r="F93" s="1">
        <v>13441295.949999999</v>
      </c>
    </row>
    <row r="94" spans="1:6" x14ac:dyDescent="0.2">
      <c r="A94" s="1">
        <v>222.5</v>
      </c>
      <c r="B94" s="1">
        <f t="shared" si="2"/>
        <v>337.38</v>
      </c>
      <c r="C94" s="1">
        <v>0</v>
      </c>
      <c r="D94" s="7">
        <v>0</v>
      </c>
      <c r="E94" s="1">
        <f t="shared" si="3"/>
        <v>-0.11</v>
      </c>
      <c r="F94" s="1">
        <v>0</v>
      </c>
    </row>
    <row r="95" spans="1:6" x14ac:dyDescent="0.2">
      <c r="A95" s="1">
        <v>225</v>
      </c>
      <c r="B95" s="1">
        <f t="shared" si="2"/>
        <v>339.88</v>
      </c>
      <c r="C95" s="1">
        <v>0</v>
      </c>
      <c r="D95" s="7">
        <v>0</v>
      </c>
      <c r="E95" s="1">
        <f t="shared" si="3"/>
        <v>-0.11</v>
      </c>
      <c r="F95" s="1">
        <v>0</v>
      </c>
    </row>
    <row r="96" spans="1:6" x14ac:dyDescent="0.2">
      <c r="A96" s="1">
        <v>227.5</v>
      </c>
      <c r="B96" s="1">
        <f t="shared" si="2"/>
        <v>342.38</v>
      </c>
      <c r="C96" s="1">
        <v>0</v>
      </c>
      <c r="D96" s="7">
        <v>0</v>
      </c>
      <c r="E96" s="1">
        <f t="shared" si="3"/>
        <v>-0.11</v>
      </c>
      <c r="F96" s="1">
        <v>0</v>
      </c>
    </row>
    <row r="97" spans="1:6" x14ac:dyDescent="0.2">
      <c r="A97" s="1">
        <v>230</v>
      </c>
      <c r="B97" s="1">
        <f t="shared" si="2"/>
        <v>344.88</v>
      </c>
      <c r="C97" s="1">
        <v>103.82</v>
      </c>
      <c r="D97" s="7">
        <v>241.06</v>
      </c>
      <c r="E97" s="1">
        <f t="shared" si="3"/>
        <v>240.95</v>
      </c>
      <c r="F97" s="1">
        <v>12590387.35</v>
      </c>
    </row>
    <row r="98" spans="1:6" x14ac:dyDescent="0.2">
      <c r="A98" s="1">
        <v>232.5</v>
      </c>
      <c r="B98" s="1">
        <f t="shared" si="2"/>
        <v>347.38</v>
      </c>
      <c r="C98" s="1">
        <v>0</v>
      </c>
      <c r="D98" s="7">
        <v>0</v>
      </c>
      <c r="E98" s="1">
        <f t="shared" si="3"/>
        <v>-0.11</v>
      </c>
      <c r="F98" s="1">
        <v>0</v>
      </c>
    </row>
    <row r="99" spans="1:6" x14ac:dyDescent="0.2">
      <c r="A99" s="1">
        <v>235</v>
      </c>
      <c r="B99" s="1">
        <f t="shared" si="2"/>
        <v>349.88</v>
      </c>
      <c r="C99" s="1">
        <v>0</v>
      </c>
      <c r="D99" s="7">
        <v>0</v>
      </c>
      <c r="E99" s="1">
        <f t="shared" si="3"/>
        <v>-0.11</v>
      </c>
      <c r="F99" s="1">
        <v>0</v>
      </c>
    </row>
    <row r="100" spans="1:6" x14ac:dyDescent="0.2">
      <c r="A100" s="1">
        <v>237.5</v>
      </c>
      <c r="B100" s="1">
        <f t="shared" si="2"/>
        <v>352.38</v>
      </c>
      <c r="C100" s="1">
        <v>0</v>
      </c>
      <c r="D100" s="7">
        <v>0</v>
      </c>
      <c r="E100" s="1">
        <f t="shared" si="3"/>
        <v>-0.11</v>
      </c>
      <c r="F100" s="1">
        <v>0</v>
      </c>
    </row>
    <row r="101" spans="1:6" x14ac:dyDescent="0.2">
      <c r="A101" s="1">
        <v>240</v>
      </c>
      <c r="B101" s="1">
        <f t="shared" si="2"/>
        <v>354.88</v>
      </c>
      <c r="C101" s="1">
        <v>106.59</v>
      </c>
      <c r="D101" s="7">
        <v>248.29</v>
      </c>
      <c r="E101" s="1">
        <f t="shared" si="3"/>
        <v>248.17999999999998</v>
      </c>
      <c r="F101" s="1">
        <v>11689077.4</v>
      </c>
    </row>
    <row r="102" spans="1:6" x14ac:dyDescent="0.2">
      <c r="A102" s="1">
        <v>242.5</v>
      </c>
      <c r="B102" s="1">
        <f t="shared" si="2"/>
        <v>357.38</v>
      </c>
      <c r="C102" s="1">
        <v>0</v>
      </c>
      <c r="D102" s="7">
        <v>0</v>
      </c>
      <c r="E102" s="1">
        <f t="shared" si="3"/>
        <v>-0.11</v>
      </c>
      <c r="F102" s="1">
        <v>0</v>
      </c>
    </row>
    <row r="103" spans="1:6" x14ac:dyDescent="0.2">
      <c r="A103" s="1">
        <v>245</v>
      </c>
      <c r="B103" s="1">
        <f t="shared" si="2"/>
        <v>359.88</v>
      </c>
      <c r="C103" s="1">
        <v>0</v>
      </c>
      <c r="D103" s="7">
        <v>0</v>
      </c>
      <c r="E103" s="1">
        <f t="shared" si="3"/>
        <v>-0.11</v>
      </c>
      <c r="F103" s="1">
        <v>0</v>
      </c>
    </row>
    <row r="104" spans="1:6" x14ac:dyDescent="0.2">
      <c r="A104" s="1">
        <v>247.5</v>
      </c>
      <c r="B104" s="1">
        <f t="shared" si="2"/>
        <v>362.38</v>
      </c>
      <c r="C104" s="1">
        <v>0</v>
      </c>
      <c r="D104" s="7">
        <v>0</v>
      </c>
      <c r="E104" s="1">
        <f t="shared" si="3"/>
        <v>-0.11</v>
      </c>
      <c r="F104" s="1">
        <v>0</v>
      </c>
    </row>
    <row r="105" spans="1:6" x14ac:dyDescent="0.2">
      <c r="A105" s="1">
        <v>250</v>
      </c>
      <c r="B105" s="1">
        <f t="shared" si="2"/>
        <v>364.88</v>
      </c>
      <c r="C105" s="1">
        <v>109.42</v>
      </c>
      <c r="D105" s="7">
        <v>255.46</v>
      </c>
      <c r="E105" s="1">
        <f t="shared" si="3"/>
        <v>255.35</v>
      </c>
      <c r="F105" s="1">
        <v>10731324.92</v>
      </c>
    </row>
    <row r="106" spans="1:6" x14ac:dyDescent="0.2">
      <c r="A106" s="1">
        <v>252.5</v>
      </c>
      <c r="B106" s="1">
        <f t="shared" si="2"/>
        <v>367.38</v>
      </c>
      <c r="C106" s="1">
        <v>0</v>
      </c>
      <c r="D106" s="7">
        <v>0</v>
      </c>
      <c r="E106" s="1">
        <f t="shared" si="3"/>
        <v>-0.11</v>
      </c>
      <c r="F106" s="1">
        <v>0</v>
      </c>
    </row>
    <row r="107" spans="1:6" x14ac:dyDescent="0.2">
      <c r="A107" s="1">
        <v>255</v>
      </c>
      <c r="B107" s="1">
        <f t="shared" si="2"/>
        <v>369.88</v>
      </c>
      <c r="C107" s="1">
        <v>0</v>
      </c>
      <c r="D107" s="7">
        <v>0</v>
      </c>
      <c r="E107" s="1">
        <f t="shared" si="3"/>
        <v>-0.11</v>
      </c>
      <c r="F107" s="1">
        <v>0</v>
      </c>
    </row>
    <row r="108" spans="1:6" x14ac:dyDescent="0.2">
      <c r="A108" s="1">
        <v>257.5</v>
      </c>
      <c r="B108" s="1">
        <f t="shared" si="2"/>
        <v>372.38</v>
      </c>
      <c r="C108" s="1">
        <v>0</v>
      </c>
      <c r="D108" s="7">
        <v>0</v>
      </c>
      <c r="E108" s="1">
        <f t="shared" si="3"/>
        <v>-0.11</v>
      </c>
      <c r="F108" s="1">
        <v>0</v>
      </c>
    </row>
    <row r="109" spans="1:6" x14ac:dyDescent="0.2">
      <c r="A109" s="1">
        <v>260</v>
      </c>
      <c r="B109" s="1">
        <f t="shared" si="2"/>
        <v>374.88</v>
      </c>
      <c r="C109" s="1">
        <v>112.32</v>
      </c>
      <c r="D109" s="7">
        <v>262.56</v>
      </c>
      <c r="E109" s="1">
        <f t="shared" si="3"/>
        <v>262.45</v>
      </c>
      <c r="F109" s="1">
        <v>9707760.2899999991</v>
      </c>
    </row>
    <row r="110" spans="1:6" x14ac:dyDescent="0.2">
      <c r="A110" s="1">
        <v>262.5</v>
      </c>
      <c r="B110" s="1">
        <f t="shared" si="2"/>
        <v>377.38</v>
      </c>
      <c r="C110" s="1">
        <v>0</v>
      </c>
      <c r="D110" s="7">
        <v>0</v>
      </c>
      <c r="E110" s="1">
        <f t="shared" si="3"/>
        <v>-0.11</v>
      </c>
      <c r="F110" s="1">
        <v>0</v>
      </c>
    </row>
    <row r="111" spans="1:6" x14ac:dyDescent="0.2">
      <c r="A111" s="1">
        <v>265</v>
      </c>
      <c r="B111" s="1">
        <f t="shared" si="2"/>
        <v>379.88</v>
      </c>
      <c r="C111" s="1">
        <v>0</v>
      </c>
      <c r="D111" s="7">
        <v>0</v>
      </c>
      <c r="E111" s="1">
        <f t="shared" si="3"/>
        <v>-0.11</v>
      </c>
      <c r="F111" s="1">
        <v>0</v>
      </c>
    </row>
    <row r="112" spans="1:6" x14ac:dyDescent="0.2">
      <c r="A112" s="1">
        <v>267.5</v>
      </c>
      <c r="B112" s="1">
        <f t="shared" si="2"/>
        <v>382.38</v>
      </c>
      <c r="C112" s="1">
        <v>0</v>
      </c>
      <c r="D112" s="7">
        <v>0</v>
      </c>
      <c r="E112" s="1">
        <f t="shared" si="3"/>
        <v>-0.11</v>
      </c>
      <c r="F112" s="1">
        <v>0</v>
      </c>
    </row>
    <row r="113" spans="1:6" x14ac:dyDescent="0.2">
      <c r="A113" s="1">
        <v>270</v>
      </c>
      <c r="B113" s="1">
        <f t="shared" si="2"/>
        <v>384.88</v>
      </c>
      <c r="C113" s="1">
        <v>115.31</v>
      </c>
      <c r="D113" s="7">
        <v>269.57</v>
      </c>
      <c r="E113" s="1">
        <f t="shared" si="3"/>
        <v>269.45999999999998</v>
      </c>
      <c r="F113" s="1">
        <v>8602670.6500000004</v>
      </c>
    </row>
    <row r="114" spans="1:6" x14ac:dyDescent="0.2">
      <c r="A114" s="1">
        <v>272.5</v>
      </c>
      <c r="B114" s="1">
        <f t="shared" si="2"/>
        <v>387.38</v>
      </c>
      <c r="C114" s="1">
        <v>0</v>
      </c>
      <c r="D114" s="7">
        <v>0</v>
      </c>
      <c r="E114" s="1">
        <f t="shared" si="3"/>
        <v>-0.11</v>
      </c>
      <c r="F114" s="1">
        <v>0</v>
      </c>
    </row>
    <row r="115" spans="1:6" x14ac:dyDescent="0.2">
      <c r="A115" s="1">
        <v>275</v>
      </c>
      <c r="B115" s="1">
        <f t="shared" si="2"/>
        <v>389.88</v>
      </c>
      <c r="C115" s="1">
        <v>0</v>
      </c>
      <c r="D115" s="7">
        <v>0</v>
      </c>
      <c r="E115" s="1">
        <f t="shared" si="3"/>
        <v>-0.11</v>
      </c>
      <c r="F115" s="1">
        <v>0</v>
      </c>
    </row>
  </sheetData>
  <mergeCells count="3">
    <mergeCell ref="A1:B1"/>
    <mergeCell ref="A2:B2"/>
    <mergeCell ref="A3:B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锦奕 洪</dc:creator>
  <cp:keywords/>
  <dc:description/>
  <cp:lastModifiedBy>office</cp:lastModifiedBy>
  <cp:revision/>
  <dcterms:created xsi:type="dcterms:W3CDTF">2023-11-20T16:14:34Z</dcterms:created>
  <dcterms:modified xsi:type="dcterms:W3CDTF">2025-06-11T07:02:33Z</dcterms:modified>
  <cp:category/>
  <cp:contentStatus/>
</cp:coreProperties>
</file>