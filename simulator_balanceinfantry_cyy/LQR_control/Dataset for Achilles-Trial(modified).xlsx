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二下\机器人控制与建模\proj\simulator_balanceinfantry_cyy\LQR_control\"/>
    </mc:Choice>
  </mc:AlternateContent>
  <xr:revisionPtr revIDLastSave="0" documentId="13_ncr:1_{D845A7C8-8D43-4C02-BC99-A212BE915528}" xr6:coauthVersionLast="47" xr6:coauthVersionMax="47" xr10:uidLastSave="{00000000-0000-0000-0000-000000000000}"/>
  <bookViews>
    <workbookView xWindow="6795" yWindow="4185" windowWidth="21600" windowHeight="11295" xr2:uid="{23354506-C37E-45F4-A703-561D0ED30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5" i="1"/>
</calcChain>
</file>

<file path=xl/sharedStrings.xml><?xml version="1.0" encoding="utf-8"?>
<sst xmlns="http://schemas.openxmlformats.org/spreadsheetml/2006/main" count="37" uniqueCount="33">
  <si>
    <t>Leg Length</t>
    <phoneticPr fontId="1" type="noConversion"/>
  </si>
  <si>
    <t>驱动轮半径</t>
    <phoneticPr fontId="1" type="noConversion"/>
  </si>
  <si>
    <t>驱动轮轮距/2</t>
  </si>
  <si>
    <t>驱动轮到腿部质心距离</t>
  </si>
  <si>
    <t>机体质心到腿部关节距离</t>
  </si>
  <si>
    <t>驱动轮质量</t>
  </si>
  <si>
    <t>腿部质量</t>
    <phoneticPr fontId="1" type="noConversion"/>
  </si>
  <si>
    <t>机体质量</t>
  </si>
  <si>
    <t>驱动轮转动惯量（自然坐标系法向）</t>
  </si>
  <si>
    <t>腿部转动惯量（自然坐标系法向）</t>
  </si>
  <si>
    <t>机体转动惯量（自然坐标系法向）</t>
  </si>
  <si>
    <t>机器人z轴转动惯量</t>
  </si>
  <si>
    <t>Static Parameter</t>
    <phoneticPr fontId="1" type="noConversion"/>
  </si>
  <si>
    <t>0.1m</t>
    <phoneticPr fontId="1" type="noConversion"/>
  </si>
  <si>
    <t>\</t>
    <phoneticPr fontId="1" type="noConversion"/>
  </si>
  <si>
    <t>786.35g</t>
    <phoneticPr fontId="1" type="noConversion"/>
  </si>
  <si>
    <t>2428.63g</t>
    <phoneticPr fontId="1" type="noConversion"/>
  </si>
  <si>
    <t>396351741.70 g*mm^2</t>
    <phoneticPr fontId="1" type="noConversion"/>
  </si>
  <si>
    <t>Take Highest part as 0</t>
    <phoneticPr fontId="1" type="noConversion"/>
  </si>
  <si>
    <t>ΔH = 266 mm</t>
    <phoneticPr fontId="1" type="noConversion"/>
  </si>
  <si>
    <t>Δh = 10 mm</t>
    <phoneticPr fontId="1" type="noConversion"/>
  </si>
  <si>
    <t>Beginning with squatting position</t>
    <phoneticPr fontId="1" type="noConversion"/>
  </si>
  <si>
    <t>0.251m</t>
    <phoneticPr fontId="1" type="noConversion"/>
  </si>
  <si>
    <t>0.031m</t>
    <phoneticPr fontId="1" type="noConversion"/>
  </si>
  <si>
    <t>27964333.09 g*mm^2</t>
    <phoneticPr fontId="1" type="noConversion"/>
  </si>
  <si>
    <t>9829g</t>
    <phoneticPr fontId="1" type="noConversion"/>
  </si>
  <si>
    <t>1552289.31 g*mm^2</t>
    <phoneticPr fontId="1" type="noConversion"/>
  </si>
  <si>
    <t>That is: 90.64</t>
    <phoneticPr fontId="1" type="noConversion"/>
  </si>
  <si>
    <t>Unit</t>
    <phoneticPr fontId="1" type="noConversion"/>
  </si>
  <si>
    <t>mm</t>
    <phoneticPr fontId="1" type="noConversion"/>
  </si>
  <si>
    <t>g*mm^2</t>
    <phoneticPr fontId="1" type="noConversion"/>
  </si>
  <si>
    <t>机体质心到腿部质心距离（竖直方向）</t>
    <phoneticPr fontId="1" type="noConversion"/>
  </si>
  <si>
    <t>中间值（不需要）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</si>
</sst>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微软雅黑"/>
      <family val="2"/>
      <charset val="134"/>
    </font>
    <font>
      <sz val="11"/>
      <color theme="2" tint="-0.249977111117893"/>
      <name val="等线"/>
      <family val="2"/>
      <charset val="134"/>
      <scheme val="minor"/>
    </font>
    <font>
      <sz val="11"/>
      <color theme="2" tint="-0.249977111117893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Sheet1!$E$1:$E$4</c:f>
              <c:strCache>
                <c:ptCount val="4"/>
                <c:pt idx="0">
                  <c:v>腿部转动惯量（自然坐标系法向）</c:v>
                </c:pt>
                <c:pt idx="1">
                  <c:v>\</c:v>
                </c:pt>
                <c:pt idx="2">
                  <c:v>That is: 90.64</c:v>
                </c:pt>
                <c:pt idx="3">
                  <c:v>g*mm^2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Sheet1!$E$5:$E$111</c:f>
              <c:numCache>
                <c:formatCode>General</c:formatCode>
                <c:ptCount val="107"/>
                <c:pt idx="5">
                  <c:v>25129697.940000001</c:v>
                </c:pt>
                <c:pt idx="6">
                  <c:v>25516518.210000001</c:v>
                </c:pt>
                <c:pt idx="7">
                  <c:v>25846131.59</c:v>
                </c:pt>
                <c:pt idx="8">
                  <c:v>26128139.329999998</c:v>
                </c:pt>
                <c:pt idx="9">
                  <c:v>26369894.170000002</c:v>
                </c:pt>
                <c:pt idx="10">
                  <c:v>26577158.239999998</c:v>
                </c:pt>
                <c:pt idx="11">
                  <c:v>26754532.550000001</c:v>
                </c:pt>
                <c:pt idx="12">
                  <c:v>26905748.899999999</c:v>
                </c:pt>
                <c:pt idx="13">
                  <c:v>27033874.530000001</c:v>
                </c:pt>
                <c:pt idx="14">
                  <c:v>27141459.420000002</c:v>
                </c:pt>
                <c:pt idx="15">
                  <c:v>27230644.559999999</c:v>
                </c:pt>
                <c:pt idx="16">
                  <c:v>27303243.350000001</c:v>
                </c:pt>
                <c:pt idx="17">
                  <c:v>27360803.550000001</c:v>
                </c:pt>
                <c:pt idx="18">
                  <c:v>27404655.359999999</c:v>
                </c:pt>
                <c:pt idx="19">
                  <c:v>27435949.059999999</c:v>
                </c:pt>
                <c:pt idx="20">
                  <c:v>27455684.949999999</c:v>
                </c:pt>
                <c:pt idx="21">
                  <c:v>27464737.32</c:v>
                </c:pt>
                <c:pt idx="22">
                  <c:v>27463873.91</c:v>
                </c:pt>
                <c:pt idx="23">
                  <c:v>27453771.719999999</c:v>
                </c:pt>
                <c:pt idx="24">
                  <c:v>27435030.09</c:v>
                </c:pt>
                <c:pt idx="25">
                  <c:v>27408181.539999999</c:v>
                </c:pt>
                <c:pt idx="26">
                  <c:v>27373700.800000001</c:v>
                </c:pt>
                <c:pt idx="27">
                  <c:v>27332012.370000001</c:v>
                </c:pt>
                <c:pt idx="28">
                  <c:v>27283496.920000002</c:v>
                </c:pt>
                <c:pt idx="29">
                  <c:v>27228496.75</c:v>
                </c:pt>
                <c:pt idx="30">
                  <c:v>27167320.41</c:v>
                </c:pt>
                <c:pt idx="31">
                  <c:v>27100246.649999999</c:v>
                </c:pt>
                <c:pt idx="32">
                  <c:v>27027527.850000001</c:v>
                </c:pt>
                <c:pt idx="33">
                  <c:v>26949392.960000001</c:v>
                </c:pt>
                <c:pt idx="34">
                  <c:v>26866050.07</c:v>
                </c:pt>
                <c:pt idx="35">
                  <c:v>26777688.600000001</c:v>
                </c:pt>
                <c:pt idx="36">
                  <c:v>26684481.280000001</c:v>
                </c:pt>
                <c:pt idx="37">
                  <c:v>26586585.800000001</c:v>
                </c:pt>
                <c:pt idx="38">
                  <c:v>26484146.34</c:v>
                </c:pt>
                <c:pt idx="39">
                  <c:v>26377294.870000001</c:v>
                </c:pt>
                <c:pt idx="40">
                  <c:v>26266152.300000001</c:v>
                </c:pt>
                <c:pt idx="41">
                  <c:v>26150829.5</c:v>
                </c:pt>
                <c:pt idx="42">
                  <c:v>26031428.23</c:v>
                </c:pt>
                <c:pt idx="43">
                  <c:v>25908041.920000002</c:v>
                </c:pt>
                <c:pt idx="44">
                  <c:v>25780756.420000002</c:v>
                </c:pt>
                <c:pt idx="45">
                  <c:v>25649650.600000001</c:v>
                </c:pt>
                <c:pt idx="46">
                  <c:v>25514796.960000001</c:v>
                </c:pt>
                <c:pt idx="47">
                  <c:v>25376262.140000001</c:v>
                </c:pt>
                <c:pt idx="48">
                  <c:v>25234107.350000001</c:v>
                </c:pt>
                <c:pt idx="49">
                  <c:v>25088387</c:v>
                </c:pt>
                <c:pt idx="50">
                  <c:v>24939156.25</c:v>
                </c:pt>
                <c:pt idx="51">
                  <c:v>24786460.620000001</c:v>
                </c:pt>
                <c:pt idx="52">
                  <c:v>24630343.440000001</c:v>
                </c:pt>
                <c:pt idx="53">
                  <c:v>24470844.289999999</c:v>
                </c:pt>
                <c:pt idx="54">
                  <c:v>24307999.260000002</c:v>
                </c:pt>
                <c:pt idx="55">
                  <c:v>24141841.239999998</c:v>
                </c:pt>
                <c:pt idx="56">
                  <c:v>23972400.02</c:v>
                </c:pt>
                <c:pt idx="57">
                  <c:v>23799702.57</c:v>
                </c:pt>
                <c:pt idx="58">
                  <c:v>23623773.149999999</c:v>
                </c:pt>
                <c:pt idx="59">
                  <c:v>23444633.52</c:v>
                </c:pt>
                <c:pt idx="60">
                  <c:v>23262303.050000001</c:v>
                </c:pt>
                <c:pt idx="61">
                  <c:v>23076798.960000001</c:v>
                </c:pt>
                <c:pt idx="62">
                  <c:v>22888136.449999999</c:v>
                </c:pt>
                <c:pt idx="63">
                  <c:v>22696328.940000001</c:v>
                </c:pt>
                <c:pt idx="64">
                  <c:v>22501388.460000001</c:v>
                </c:pt>
                <c:pt idx="65">
                  <c:v>22303326.120000001</c:v>
                </c:pt>
                <c:pt idx="66">
                  <c:v>22102153.120000001</c:v>
                </c:pt>
                <c:pt idx="67">
                  <c:v>21897882.77</c:v>
                </c:pt>
                <c:pt idx="68">
                  <c:v>21690535.210000001</c:v>
                </c:pt>
                <c:pt idx="69">
                  <c:v>21480150.670000002</c:v>
                </c:pt>
                <c:pt idx="70">
                  <c:v>21266836.68</c:v>
                </c:pt>
                <c:pt idx="71">
                  <c:v>21051027.850000001</c:v>
                </c:pt>
                <c:pt idx="72">
                  <c:v>20838181.010000002</c:v>
                </c:pt>
                <c:pt idx="73">
                  <c:v>20957850.649999999</c:v>
                </c:pt>
                <c:pt idx="74">
                  <c:v>21244796.350000001</c:v>
                </c:pt>
                <c:pt idx="75">
                  <c:v>21537037.59</c:v>
                </c:pt>
                <c:pt idx="76">
                  <c:v>21832909.850000001</c:v>
                </c:pt>
                <c:pt idx="77">
                  <c:v>22132171.390000001</c:v>
                </c:pt>
                <c:pt idx="78">
                  <c:v>22434756.329999998</c:v>
                </c:pt>
                <c:pt idx="79">
                  <c:v>22740644.18</c:v>
                </c:pt>
                <c:pt idx="80">
                  <c:v>23049831.18</c:v>
                </c:pt>
                <c:pt idx="81">
                  <c:v>23362321.43</c:v>
                </c:pt>
                <c:pt idx="82">
                  <c:v>23678123.579999998</c:v>
                </c:pt>
                <c:pt idx="83">
                  <c:v>23997249.449999999</c:v>
                </c:pt>
                <c:pt idx="84">
                  <c:v>24319713.379999999</c:v>
                </c:pt>
                <c:pt idx="85">
                  <c:v>24645531.93</c:v>
                </c:pt>
                <c:pt idx="86">
                  <c:v>24974723.82</c:v>
                </c:pt>
                <c:pt idx="87">
                  <c:v>25307309.91</c:v>
                </c:pt>
                <c:pt idx="88">
                  <c:v>25643313.309999999</c:v>
                </c:pt>
                <c:pt idx="89">
                  <c:v>25982759.460000001</c:v>
                </c:pt>
                <c:pt idx="90">
                  <c:v>26325676.370000001</c:v>
                </c:pt>
                <c:pt idx="91">
                  <c:v>26672094.75</c:v>
                </c:pt>
                <c:pt idx="92">
                  <c:v>27022048.32</c:v>
                </c:pt>
                <c:pt idx="93">
                  <c:v>27375574.109999999</c:v>
                </c:pt>
                <c:pt idx="94">
                  <c:v>27732712.780000001</c:v>
                </c:pt>
                <c:pt idx="95">
                  <c:v>28093509.07</c:v>
                </c:pt>
                <c:pt idx="96">
                  <c:v>28458012.289999999</c:v>
                </c:pt>
                <c:pt idx="97">
                  <c:v>28826276.870000001</c:v>
                </c:pt>
                <c:pt idx="98">
                  <c:v>29198363.07</c:v>
                </c:pt>
                <c:pt idx="99">
                  <c:v>29574337.809999999</c:v>
                </c:pt>
                <c:pt idx="100">
                  <c:v>29954275.59</c:v>
                </c:pt>
                <c:pt idx="101">
                  <c:v>30338259.760000002</c:v>
                </c:pt>
                <c:pt idx="102">
                  <c:v>30726383.850000001</c:v>
                </c:pt>
                <c:pt idx="103">
                  <c:v>31118753.41</c:v>
                </c:pt>
                <c:pt idx="104">
                  <c:v>31515488.149999999</c:v>
                </c:pt>
                <c:pt idx="105">
                  <c:v>31916724.68</c:v>
                </c:pt>
                <c:pt idx="106">
                  <c:v>32322619.91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9-4684-BB2B-DE3E05B96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243359"/>
        <c:axId val="1429498447"/>
      </c:lineChart>
      <c:catAx>
        <c:axId val="1067243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9498447"/>
        <c:crosses val="autoZero"/>
        <c:auto val="1"/>
        <c:lblAlgn val="ctr"/>
        <c:lblOffset val="100"/>
        <c:noMultiLvlLbl val="0"/>
      </c:catAx>
      <c:valAx>
        <c:axId val="142949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724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729615048118985E-2"/>
          <c:y val="0.17576407115777196"/>
          <c:w val="0.89019685039370078"/>
          <c:h val="0.6997302420530766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Sheet1!$B$1:$B$4</c:f>
              <c:strCache>
                <c:ptCount val="4"/>
                <c:pt idx="0">
                  <c:v>驱动轮到腿部质心距离</c:v>
                </c:pt>
                <c:pt idx="1">
                  <c:v>\</c:v>
                </c:pt>
                <c:pt idx="2">
                  <c:v>ΔH = 266 mm</c:v>
                </c:pt>
                <c:pt idx="3">
                  <c:v>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Sheet1!$B$5:$B$111</c:f>
              <c:numCache>
                <c:formatCode>General</c:formatCode>
                <c:ptCount val="107"/>
                <c:pt idx="0">
                  <c:v>63.41</c:v>
                </c:pt>
                <c:pt idx="1">
                  <c:v>61.93</c:v>
                </c:pt>
                <c:pt idx="2">
                  <c:v>60.78</c:v>
                </c:pt>
                <c:pt idx="3">
                  <c:v>59.87</c:v>
                </c:pt>
                <c:pt idx="4">
                  <c:v>59.13</c:v>
                </c:pt>
                <c:pt idx="5">
                  <c:v>58.53</c:v>
                </c:pt>
                <c:pt idx="6">
                  <c:v>58.05</c:v>
                </c:pt>
                <c:pt idx="7">
                  <c:v>57.66</c:v>
                </c:pt>
                <c:pt idx="8">
                  <c:v>57.35</c:v>
                </c:pt>
                <c:pt idx="9">
                  <c:v>57.12</c:v>
                </c:pt>
                <c:pt idx="10">
                  <c:v>56.94</c:v>
                </c:pt>
                <c:pt idx="11">
                  <c:v>56.82</c:v>
                </c:pt>
                <c:pt idx="12">
                  <c:v>56.75</c:v>
                </c:pt>
                <c:pt idx="13">
                  <c:v>56.72</c:v>
                </c:pt>
                <c:pt idx="14">
                  <c:v>56.73</c:v>
                </c:pt>
                <c:pt idx="15">
                  <c:v>56.78</c:v>
                </c:pt>
                <c:pt idx="16">
                  <c:v>56.86</c:v>
                </c:pt>
                <c:pt idx="17">
                  <c:v>56.97</c:v>
                </c:pt>
                <c:pt idx="18">
                  <c:v>57.1</c:v>
                </c:pt>
                <c:pt idx="19">
                  <c:v>57.26</c:v>
                </c:pt>
                <c:pt idx="20">
                  <c:v>57.45</c:v>
                </c:pt>
                <c:pt idx="21">
                  <c:v>57.65</c:v>
                </c:pt>
                <c:pt idx="22">
                  <c:v>57.88</c:v>
                </c:pt>
                <c:pt idx="23">
                  <c:v>58.12</c:v>
                </c:pt>
                <c:pt idx="24">
                  <c:v>58.38</c:v>
                </c:pt>
                <c:pt idx="25">
                  <c:v>58.66</c:v>
                </c:pt>
                <c:pt idx="26">
                  <c:v>58.95</c:v>
                </c:pt>
                <c:pt idx="27">
                  <c:v>59.52</c:v>
                </c:pt>
                <c:pt idx="28">
                  <c:v>59.58</c:v>
                </c:pt>
                <c:pt idx="29">
                  <c:v>59.91</c:v>
                </c:pt>
                <c:pt idx="30">
                  <c:v>60.25</c:v>
                </c:pt>
                <c:pt idx="31">
                  <c:v>60.61</c:v>
                </c:pt>
                <c:pt idx="32">
                  <c:v>61.23</c:v>
                </c:pt>
                <c:pt idx="33">
                  <c:v>61.35</c:v>
                </c:pt>
                <c:pt idx="34">
                  <c:v>61.74</c:v>
                </c:pt>
                <c:pt idx="35">
                  <c:v>62.13</c:v>
                </c:pt>
                <c:pt idx="36">
                  <c:v>62.54</c:v>
                </c:pt>
                <c:pt idx="37">
                  <c:v>62.95</c:v>
                </c:pt>
                <c:pt idx="38">
                  <c:v>63.37</c:v>
                </c:pt>
                <c:pt idx="39">
                  <c:v>63.8</c:v>
                </c:pt>
                <c:pt idx="40">
                  <c:v>64.23</c:v>
                </c:pt>
                <c:pt idx="41">
                  <c:v>64.67</c:v>
                </c:pt>
                <c:pt idx="42">
                  <c:v>65.12</c:v>
                </c:pt>
                <c:pt idx="43">
                  <c:v>65.58</c:v>
                </c:pt>
                <c:pt idx="44">
                  <c:v>66.040000000000006</c:v>
                </c:pt>
                <c:pt idx="45">
                  <c:v>66.5</c:v>
                </c:pt>
                <c:pt idx="46">
                  <c:v>66.98</c:v>
                </c:pt>
                <c:pt idx="47">
                  <c:v>67.459999999999994</c:v>
                </c:pt>
                <c:pt idx="48">
                  <c:v>67.94</c:v>
                </c:pt>
                <c:pt idx="49">
                  <c:v>68.430000000000007</c:v>
                </c:pt>
                <c:pt idx="50">
                  <c:v>68.92</c:v>
                </c:pt>
                <c:pt idx="51">
                  <c:v>69.42</c:v>
                </c:pt>
                <c:pt idx="52">
                  <c:v>69.92</c:v>
                </c:pt>
                <c:pt idx="53">
                  <c:v>70.430000000000007</c:v>
                </c:pt>
                <c:pt idx="54">
                  <c:v>70.94</c:v>
                </c:pt>
                <c:pt idx="55">
                  <c:v>71.45</c:v>
                </c:pt>
                <c:pt idx="56">
                  <c:v>71.97</c:v>
                </c:pt>
                <c:pt idx="57">
                  <c:v>72.489999999999995</c:v>
                </c:pt>
                <c:pt idx="58">
                  <c:v>73.010000000000005</c:v>
                </c:pt>
                <c:pt idx="59">
                  <c:v>73.55</c:v>
                </c:pt>
                <c:pt idx="60">
                  <c:v>74.08</c:v>
                </c:pt>
                <c:pt idx="61">
                  <c:v>74.63</c:v>
                </c:pt>
                <c:pt idx="62">
                  <c:v>75.16</c:v>
                </c:pt>
                <c:pt idx="63">
                  <c:v>75.709999999999994</c:v>
                </c:pt>
                <c:pt idx="64">
                  <c:v>76.25</c:v>
                </c:pt>
                <c:pt idx="65">
                  <c:v>76.8</c:v>
                </c:pt>
                <c:pt idx="66">
                  <c:v>77.36</c:v>
                </c:pt>
                <c:pt idx="67">
                  <c:v>77.91</c:v>
                </c:pt>
                <c:pt idx="68">
                  <c:v>78.47</c:v>
                </c:pt>
                <c:pt idx="69">
                  <c:v>79.03</c:v>
                </c:pt>
                <c:pt idx="70">
                  <c:v>79.599999999999994</c:v>
                </c:pt>
                <c:pt idx="71">
                  <c:v>80.17</c:v>
                </c:pt>
                <c:pt idx="72">
                  <c:v>80.739999999999995</c:v>
                </c:pt>
                <c:pt idx="73">
                  <c:v>81.31</c:v>
                </c:pt>
                <c:pt idx="74">
                  <c:v>81.89</c:v>
                </c:pt>
                <c:pt idx="75">
                  <c:v>82.46</c:v>
                </c:pt>
                <c:pt idx="76">
                  <c:v>83.05</c:v>
                </c:pt>
                <c:pt idx="77">
                  <c:v>83.63</c:v>
                </c:pt>
                <c:pt idx="78">
                  <c:v>84.21</c:v>
                </c:pt>
                <c:pt idx="79">
                  <c:v>84.8</c:v>
                </c:pt>
                <c:pt idx="80">
                  <c:v>85.39</c:v>
                </c:pt>
                <c:pt idx="81">
                  <c:v>85.99</c:v>
                </c:pt>
                <c:pt idx="82">
                  <c:v>86.58</c:v>
                </c:pt>
                <c:pt idx="83">
                  <c:v>87.18</c:v>
                </c:pt>
                <c:pt idx="84">
                  <c:v>87.78</c:v>
                </c:pt>
                <c:pt idx="85">
                  <c:v>88.39</c:v>
                </c:pt>
                <c:pt idx="86">
                  <c:v>88.99</c:v>
                </c:pt>
                <c:pt idx="87">
                  <c:v>89.6</c:v>
                </c:pt>
                <c:pt idx="88">
                  <c:v>90.21</c:v>
                </c:pt>
                <c:pt idx="89">
                  <c:v>90.82</c:v>
                </c:pt>
                <c:pt idx="90">
                  <c:v>91.44</c:v>
                </c:pt>
                <c:pt idx="91">
                  <c:v>92.06</c:v>
                </c:pt>
                <c:pt idx="92">
                  <c:v>92.68</c:v>
                </c:pt>
                <c:pt idx="93">
                  <c:v>93.3</c:v>
                </c:pt>
                <c:pt idx="94">
                  <c:v>93.93</c:v>
                </c:pt>
                <c:pt idx="95">
                  <c:v>94.56</c:v>
                </c:pt>
                <c:pt idx="96">
                  <c:v>95.19</c:v>
                </c:pt>
                <c:pt idx="97">
                  <c:v>95.82</c:v>
                </c:pt>
                <c:pt idx="98">
                  <c:v>96.46</c:v>
                </c:pt>
                <c:pt idx="99">
                  <c:v>97.1</c:v>
                </c:pt>
                <c:pt idx="100">
                  <c:v>97.74</c:v>
                </c:pt>
                <c:pt idx="101">
                  <c:v>98.39</c:v>
                </c:pt>
                <c:pt idx="102">
                  <c:v>99.04</c:v>
                </c:pt>
                <c:pt idx="103">
                  <c:v>99.69</c:v>
                </c:pt>
                <c:pt idx="104">
                  <c:v>100.35</c:v>
                </c:pt>
                <c:pt idx="105">
                  <c:v>101.01</c:v>
                </c:pt>
                <c:pt idx="106">
                  <c:v>101.68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8-4AB1-9289-87536C43C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572399"/>
        <c:axId val="1431857551"/>
      </c:lineChart>
      <c:catAx>
        <c:axId val="989572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1857551"/>
        <c:crosses val="autoZero"/>
        <c:auto val="1"/>
        <c:lblAlgn val="ctr"/>
        <c:lblOffset val="100"/>
        <c:noMultiLvlLbl val="0"/>
      </c:catAx>
      <c:valAx>
        <c:axId val="14318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57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Sheet1!$D$1:$D$4</c:f>
              <c:strCache>
                <c:ptCount val="4"/>
                <c:pt idx="0">
                  <c:v>机体质心到腿部质心距离（竖直方向）</c:v>
                </c:pt>
                <c:pt idx="1">
                  <c:v>\</c:v>
                </c:pt>
                <c:pt idx="2">
                  <c:v>Beginning with squatting position</c:v>
                </c:pt>
                <c:pt idx="3">
                  <c:v>mm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Sheet1!$D$5:$D$111</c:f>
              <c:numCache>
                <c:formatCode>General</c:formatCode>
                <c:ptCount val="107"/>
                <c:pt idx="0">
                  <c:v>0.80000000000000071</c:v>
                </c:pt>
                <c:pt idx="1">
                  <c:v>4.7800000000000011</c:v>
                </c:pt>
                <c:pt idx="2">
                  <c:v>8.43</c:v>
                </c:pt>
                <c:pt idx="3">
                  <c:v>11.840000000000003</c:v>
                </c:pt>
                <c:pt idx="4">
                  <c:v>15.079999999999998</c:v>
                </c:pt>
                <c:pt idx="5">
                  <c:v>18.18</c:v>
                </c:pt>
                <c:pt idx="6">
                  <c:v>21.160000000000004</c:v>
                </c:pt>
                <c:pt idx="7">
                  <c:v>24.049999999999997</c:v>
                </c:pt>
                <c:pt idx="8">
                  <c:v>26.86</c:v>
                </c:pt>
                <c:pt idx="9">
                  <c:v>29.590000000000003</c:v>
                </c:pt>
                <c:pt idx="10">
                  <c:v>32.270000000000003</c:v>
                </c:pt>
                <c:pt idx="11">
                  <c:v>34.89</c:v>
                </c:pt>
                <c:pt idx="12">
                  <c:v>37.46</c:v>
                </c:pt>
                <c:pt idx="13">
                  <c:v>39.99</c:v>
                </c:pt>
                <c:pt idx="14">
                  <c:v>42.48</c:v>
                </c:pt>
                <c:pt idx="15">
                  <c:v>44.93</c:v>
                </c:pt>
                <c:pt idx="16">
                  <c:v>47.35</c:v>
                </c:pt>
                <c:pt idx="17">
                  <c:v>49.74</c:v>
                </c:pt>
                <c:pt idx="18">
                  <c:v>52.110000000000007</c:v>
                </c:pt>
                <c:pt idx="19">
                  <c:v>54.449999999999996</c:v>
                </c:pt>
                <c:pt idx="20">
                  <c:v>56.76</c:v>
                </c:pt>
                <c:pt idx="21">
                  <c:v>59.059999999999995</c:v>
                </c:pt>
                <c:pt idx="22">
                  <c:v>61.330000000000005</c:v>
                </c:pt>
                <c:pt idx="23">
                  <c:v>63.589999999999996</c:v>
                </c:pt>
                <c:pt idx="24">
                  <c:v>65.830000000000013</c:v>
                </c:pt>
                <c:pt idx="25">
                  <c:v>68.050000000000011</c:v>
                </c:pt>
                <c:pt idx="26">
                  <c:v>70.259999999999991</c:v>
                </c:pt>
                <c:pt idx="27">
                  <c:v>72.449999999999989</c:v>
                </c:pt>
                <c:pt idx="28">
                  <c:v>74.63</c:v>
                </c:pt>
                <c:pt idx="29">
                  <c:v>76.800000000000011</c:v>
                </c:pt>
                <c:pt idx="30">
                  <c:v>78.960000000000008</c:v>
                </c:pt>
                <c:pt idx="31">
                  <c:v>81.099999999999994</c:v>
                </c:pt>
                <c:pt idx="32">
                  <c:v>83.240000000000009</c:v>
                </c:pt>
                <c:pt idx="33">
                  <c:v>85.360000000000014</c:v>
                </c:pt>
                <c:pt idx="34">
                  <c:v>87.47</c:v>
                </c:pt>
                <c:pt idx="35">
                  <c:v>89.580000000000013</c:v>
                </c:pt>
                <c:pt idx="36">
                  <c:v>91.669999999999987</c:v>
                </c:pt>
                <c:pt idx="37">
                  <c:v>93.759999999999991</c:v>
                </c:pt>
                <c:pt idx="38">
                  <c:v>95.84</c:v>
                </c:pt>
                <c:pt idx="39">
                  <c:v>97.91</c:v>
                </c:pt>
                <c:pt idx="40">
                  <c:v>99.97999999999999</c:v>
                </c:pt>
                <c:pt idx="41">
                  <c:v>102.03999999999999</c:v>
                </c:pt>
                <c:pt idx="42">
                  <c:v>104.09</c:v>
                </c:pt>
                <c:pt idx="43">
                  <c:v>106.13</c:v>
                </c:pt>
                <c:pt idx="44">
                  <c:v>108.16999999999999</c:v>
                </c:pt>
                <c:pt idx="45">
                  <c:v>110.20999999999998</c:v>
                </c:pt>
                <c:pt idx="46">
                  <c:v>112.22999999999999</c:v>
                </c:pt>
                <c:pt idx="47">
                  <c:v>114.25</c:v>
                </c:pt>
                <c:pt idx="48">
                  <c:v>116.26999999999998</c:v>
                </c:pt>
                <c:pt idx="49">
                  <c:v>118.28</c:v>
                </c:pt>
                <c:pt idx="50">
                  <c:v>120.28999999999999</c:v>
                </c:pt>
                <c:pt idx="51">
                  <c:v>122.28999999999999</c:v>
                </c:pt>
                <c:pt idx="52">
                  <c:v>124.28999999999999</c:v>
                </c:pt>
                <c:pt idx="53">
                  <c:v>126.28</c:v>
                </c:pt>
                <c:pt idx="54">
                  <c:v>128.26999999999998</c:v>
                </c:pt>
                <c:pt idx="55">
                  <c:v>130.26</c:v>
                </c:pt>
                <c:pt idx="56">
                  <c:v>132.23999999999998</c:v>
                </c:pt>
                <c:pt idx="57">
                  <c:v>134.22</c:v>
                </c:pt>
                <c:pt idx="58">
                  <c:v>136.19</c:v>
                </c:pt>
                <c:pt idx="59">
                  <c:v>138.16</c:v>
                </c:pt>
                <c:pt idx="60">
                  <c:v>140.13</c:v>
                </c:pt>
                <c:pt idx="61">
                  <c:v>142.09</c:v>
                </c:pt>
                <c:pt idx="62">
                  <c:v>144.04999999999998</c:v>
                </c:pt>
                <c:pt idx="63">
                  <c:v>146</c:v>
                </c:pt>
                <c:pt idx="64">
                  <c:v>147.95999999999998</c:v>
                </c:pt>
                <c:pt idx="65">
                  <c:v>149.91</c:v>
                </c:pt>
                <c:pt idx="66">
                  <c:v>151.94999999999999</c:v>
                </c:pt>
                <c:pt idx="67">
                  <c:v>153.79999999999998</c:v>
                </c:pt>
                <c:pt idx="68">
                  <c:v>155.73999999999998</c:v>
                </c:pt>
                <c:pt idx="69">
                  <c:v>157.68</c:v>
                </c:pt>
                <c:pt idx="70">
                  <c:v>159.60999999999999</c:v>
                </c:pt>
                <c:pt idx="71">
                  <c:v>161.54</c:v>
                </c:pt>
                <c:pt idx="72">
                  <c:v>163.47</c:v>
                </c:pt>
                <c:pt idx="73">
                  <c:v>165.4</c:v>
                </c:pt>
                <c:pt idx="74">
                  <c:v>167.32</c:v>
                </c:pt>
                <c:pt idx="75">
                  <c:v>169.25</c:v>
                </c:pt>
                <c:pt idx="76">
                  <c:v>171.16</c:v>
                </c:pt>
                <c:pt idx="77">
                  <c:v>173.07999999999998</c:v>
                </c:pt>
                <c:pt idx="78">
                  <c:v>175</c:v>
                </c:pt>
                <c:pt idx="79">
                  <c:v>176.91</c:v>
                </c:pt>
                <c:pt idx="80">
                  <c:v>178.82</c:v>
                </c:pt>
                <c:pt idx="81">
                  <c:v>180.72</c:v>
                </c:pt>
                <c:pt idx="82">
                  <c:v>182.63</c:v>
                </c:pt>
                <c:pt idx="83">
                  <c:v>184.53</c:v>
                </c:pt>
                <c:pt idx="84">
                  <c:v>186.43</c:v>
                </c:pt>
                <c:pt idx="85">
                  <c:v>188.32</c:v>
                </c:pt>
                <c:pt idx="86">
                  <c:v>190.22</c:v>
                </c:pt>
                <c:pt idx="87">
                  <c:v>192.10999999999999</c:v>
                </c:pt>
                <c:pt idx="88">
                  <c:v>194</c:v>
                </c:pt>
                <c:pt idx="89">
                  <c:v>195.89</c:v>
                </c:pt>
                <c:pt idx="90">
                  <c:v>197.76999999999998</c:v>
                </c:pt>
                <c:pt idx="91">
                  <c:v>199.65</c:v>
                </c:pt>
                <c:pt idx="92">
                  <c:v>201.53</c:v>
                </c:pt>
                <c:pt idx="93">
                  <c:v>203.41</c:v>
                </c:pt>
                <c:pt idx="94">
                  <c:v>205.28</c:v>
                </c:pt>
                <c:pt idx="95">
                  <c:v>207.15</c:v>
                </c:pt>
                <c:pt idx="96">
                  <c:v>209.01999999999998</c:v>
                </c:pt>
                <c:pt idx="97">
                  <c:v>210.89</c:v>
                </c:pt>
                <c:pt idx="98">
                  <c:v>212.75</c:v>
                </c:pt>
                <c:pt idx="99">
                  <c:v>214.60999999999999</c:v>
                </c:pt>
                <c:pt idx="100">
                  <c:v>216.47</c:v>
                </c:pt>
                <c:pt idx="101">
                  <c:v>218.32</c:v>
                </c:pt>
                <c:pt idx="102">
                  <c:v>220.17</c:v>
                </c:pt>
                <c:pt idx="103">
                  <c:v>222.01999999999998</c:v>
                </c:pt>
                <c:pt idx="104">
                  <c:v>223.85999999999999</c:v>
                </c:pt>
                <c:pt idx="105">
                  <c:v>225.7</c:v>
                </c:pt>
                <c:pt idx="106">
                  <c:v>227.53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1-4170-950B-2A211D789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9575279"/>
        <c:axId val="1434679871"/>
      </c:lineChart>
      <c:catAx>
        <c:axId val="98957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4679871"/>
        <c:crosses val="autoZero"/>
        <c:auto val="1"/>
        <c:lblAlgn val="ctr"/>
        <c:lblOffset val="100"/>
        <c:noMultiLvlLbl val="0"/>
      </c:catAx>
      <c:valAx>
        <c:axId val="14346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575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2362200</xdr:colOff>
      <xdr:row>16</xdr:row>
      <xdr:rowOff>114300</xdr:rowOff>
    </xdr:from>
    <xdr:to>
      <xdr:col>8</xdr:col>
      <xdr:colOff>390525</xdr:colOff>
      <xdr:row>31</xdr:row>
      <xdr:rowOff>142875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42ECD1A-5091-7099-8548-3490DD5B1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2266950</xdr:colOff>
      <xdr:row>31</xdr:row>
      <xdr:rowOff>104775</xdr:rowOff>
    </xdr:from>
    <xdr:to>
      <xdr:col>8</xdr:col>
      <xdr:colOff>295275</xdr:colOff>
      <xdr:row>46</xdr:row>
      <xdr:rowOff>133350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EA71482-9475-E02E-FBF2-51F8CBA3D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2390775</xdr:colOff>
      <xdr:row>2</xdr:row>
      <xdr:rowOff>200025</xdr:rowOff>
    </xdr:from>
    <xdr:to>
      <xdr:col>8</xdr:col>
      <xdr:colOff>419100</xdr:colOff>
      <xdr:row>17</xdr:row>
      <xdr:rowOff>47625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E698CDDA-E805-4CCD-46F6-379E00398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2998-0EBA-472D-B932-D99DFCE84956}">
  <dimension ref="A1:N111"/>
  <sheetViews>
    <sheetView tabSelected="1" topLeftCell="A103" workbookViewId="0">
      <selection activeCell="F108" sqref="F108"/>
    </sheetView>
  </sheetViews>
  <sheetFormatPr defaultRowHeight="14.25" x14ac:dyDescent="0.2"/>
  <cols>
    <col min="1" max="1" width="15.5" style="1" bestFit="1" customWidth="1"/>
    <col min="2" max="2" width="21.375" style="1" bestFit="1" customWidth="1"/>
    <col min="3" max="3" width="17.25" style="8" bestFit="1" customWidth="1"/>
    <col min="4" max="4" width="36.125" style="1" bestFit="1" customWidth="1"/>
    <col min="5" max="5" width="31.75" style="1" bestFit="1" customWidth="1"/>
    <col min="6" max="6" width="30.5" style="1" bestFit="1" customWidth="1"/>
    <col min="7" max="7" width="11" style="1" bestFit="1" customWidth="1"/>
    <col min="8" max="8" width="12.625" style="1" bestFit="1" customWidth="1"/>
    <col min="9" max="9" width="11" style="1" bestFit="1" customWidth="1"/>
    <col min="10" max="10" width="9.25" style="1" bestFit="1" customWidth="1"/>
    <col min="11" max="11" width="9" style="1"/>
    <col min="12" max="12" width="33.875" style="1" bestFit="1" customWidth="1"/>
    <col min="13" max="13" width="31.75" style="1" bestFit="1" customWidth="1"/>
    <col min="14" max="14" width="20.75" style="1" bestFit="1" customWidth="1"/>
  </cols>
  <sheetData>
    <row r="1" spans="1:14" ht="16.5" x14ac:dyDescent="0.2">
      <c r="A1" s="1" t="s">
        <v>0</v>
      </c>
      <c r="B1" s="4" t="s">
        <v>3</v>
      </c>
      <c r="C1" s="9" t="s">
        <v>32</v>
      </c>
      <c r="D1" s="5" t="s">
        <v>31</v>
      </c>
      <c r="E1" s="4" t="s">
        <v>9</v>
      </c>
      <c r="F1" s="3" t="s">
        <v>4</v>
      </c>
      <c r="G1" s="2" t="s">
        <v>1</v>
      </c>
      <c r="H1" s="3" t="s">
        <v>2</v>
      </c>
      <c r="I1" s="3" t="s">
        <v>5</v>
      </c>
      <c r="J1" s="6" t="s">
        <v>6</v>
      </c>
      <c r="K1" s="3" t="s">
        <v>7</v>
      </c>
      <c r="L1" s="3" t="s">
        <v>8</v>
      </c>
      <c r="M1" s="3" t="s">
        <v>10</v>
      </c>
      <c r="N1" s="3" t="s">
        <v>11</v>
      </c>
    </row>
    <row r="2" spans="1:14" x14ac:dyDescent="0.2">
      <c r="A2" s="1" t="s">
        <v>12</v>
      </c>
      <c r="B2" s="1" t="s">
        <v>14</v>
      </c>
      <c r="D2" s="1" t="s">
        <v>14</v>
      </c>
      <c r="E2" s="1" t="s">
        <v>14</v>
      </c>
      <c r="F2" s="1" t="s">
        <v>23</v>
      </c>
      <c r="G2" s="1" t="s">
        <v>13</v>
      </c>
      <c r="H2" s="1" t="s">
        <v>22</v>
      </c>
      <c r="I2" s="1" t="s">
        <v>15</v>
      </c>
      <c r="J2" s="1" t="s">
        <v>16</v>
      </c>
      <c r="K2" s="1" t="s">
        <v>25</v>
      </c>
      <c r="L2" s="1" t="s">
        <v>26</v>
      </c>
      <c r="M2" s="1" t="s">
        <v>24</v>
      </c>
      <c r="N2" s="1" t="s">
        <v>17</v>
      </c>
    </row>
    <row r="3" spans="1:14" ht="28.5" x14ac:dyDescent="0.2">
      <c r="A3" s="7" t="s">
        <v>18</v>
      </c>
      <c r="B3" s="1" t="s">
        <v>19</v>
      </c>
      <c r="C3" s="1" t="s">
        <v>20</v>
      </c>
      <c r="D3" s="1" t="s">
        <v>21</v>
      </c>
      <c r="E3" s="1" t="s">
        <v>27</v>
      </c>
    </row>
    <row r="4" spans="1:14" x14ac:dyDescent="0.2">
      <c r="A4" s="7" t="s">
        <v>28</v>
      </c>
      <c r="B4" s="1" t="s">
        <v>29</v>
      </c>
      <c r="C4" s="8" t="s">
        <v>29</v>
      </c>
      <c r="D4" s="1" t="s">
        <v>29</v>
      </c>
      <c r="E4" s="1" t="s">
        <v>30</v>
      </c>
    </row>
    <row r="5" spans="1:14" x14ac:dyDescent="0.2">
      <c r="A5" s="1">
        <v>0</v>
      </c>
      <c r="B5" s="1">
        <v>63.41</v>
      </c>
      <c r="C5" s="8">
        <v>27.23</v>
      </c>
      <c r="D5" s="1">
        <f>C5-26.43</f>
        <v>0.80000000000000071</v>
      </c>
    </row>
    <row r="6" spans="1:14" x14ac:dyDescent="0.2">
      <c r="A6" s="1">
        <v>2.5</v>
      </c>
      <c r="B6" s="1">
        <v>61.93</v>
      </c>
      <c r="C6" s="8">
        <v>31.21</v>
      </c>
      <c r="D6" s="1">
        <f t="shared" ref="D6:D69" si="0">C6-26.43</f>
        <v>4.7800000000000011</v>
      </c>
    </row>
    <row r="7" spans="1:14" x14ac:dyDescent="0.2">
      <c r="A7" s="1">
        <v>5</v>
      </c>
      <c r="B7" s="1">
        <v>60.78</v>
      </c>
      <c r="C7" s="8">
        <v>34.86</v>
      </c>
      <c r="D7" s="1">
        <f t="shared" si="0"/>
        <v>8.43</v>
      </c>
    </row>
    <row r="8" spans="1:14" x14ac:dyDescent="0.2">
      <c r="A8" s="1">
        <v>7.5</v>
      </c>
      <c r="B8" s="1">
        <v>59.87</v>
      </c>
      <c r="C8" s="8">
        <v>38.270000000000003</v>
      </c>
      <c r="D8" s="1">
        <f t="shared" si="0"/>
        <v>11.840000000000003</v>
      </c>
    </row>
    <row r="9" spans="1:14" x14ac:dyDescent="0.2">
      <c r="A9" s="1">
        <v>10</v>
      </c>
      <c r="B9" s="1">
        <v>59.13</v>
      </c>
      <c r="C9" s="8">
        <v>41.51</v>
      </c>
      <c r="D9" s="1">
        <f t="shared" si="0"/>
        <v>15.079999999999998</v>
      </c>
    </row>
    <row r="10" spans="1:14" x14ac:dyDescent="0.2">
      <c r="A10" s="1">
        <v>12.5</v>
      </c>
      <c r="B10" s="1">
        <v>58.53</v>
      </c>
      <c r="C10" s="8">
        <v>44.61</v>
      </c>
      <c r="D10" s="1">
        <f t="shared" si="0"/>
        <v>18.18</v>
      </c>
      <c r="E10" s="1">
        <v>25129697.940000001</v>
      </c>
    </row>
    <row r="11" spans="1:14" x14ac:dyDescent="0.2">
      <c r="A11" s="1">
        <v>15</v>
      </c>
      <c r="B11" s="1">
        <v>58.05</v>
      </c>
      <c r="C11" s="8">
        <v>47.59</v>
      </c>
      <c r="D11" s="1">
        <f t="shared" si="0"/>
        <v>21.160000000000004</v>
      </c>
      <c r="E11" s="1">
        <v>25516518.210000001</v>
      </c>
    </row>
    <row r="12" spans="1:14" x14ac:dyDescent="0.2">
      <c r="A12" s="1">
        <v>17.5</v>
      </c>
      <c r="B12" s="1">
        <v>57.66</v>
      </c>
      <c r="C12" s="8">
        <v>50.48</v>
      </c>
      <c r="D12" s="1">
        <f t="shared" si="0"/>
        <v>24.049999999999997</v>
      </c>
      <c r="E12" s="1">
        <v>25846131.59</v>
      </c>
    </row>
    <row r="13" spans="1:14" x14ac:dyDescent="0.2">
      <c r="A13" s="1">
        <v>20</v>
      </c>
      <c r="B13" s="1">
        <v>57.35</v>
      </c>
      <c r="C13" s="8">
        <v>53.29</v>
      </c>
      <c r="D13" s="1">
        <f t="shared" si="0"/>
        <v>26.86</v>
      </c>
      <c r="E13" s="1">
        <v>26128139.329999998</v>
      </c>
    </row>
    <row r="14" spans="1:14" x14ac:dyDescent="0.2">
      <c r="A14" s="1">
        <v>22.5</v>
      </c>
      <c r="B14" s="1">
        <v>57.12</v>
      </c>
      <c r="C14" s="8">
        <v>56.02</v>
      </c>
      <c r="D14" s="1">
        <f t="shared" si="0"/>
        <v>29.590000000000003</v>
      </c>
      <c r="E14" s="1">
        <v>26369894.170000002</v>
      </c>
    </row>
    <row r="15" spans="1:14" x14ac:dyDescent="0.2">
      <c r="A15" s="1">
        <v>25</v>
      </c>
      <c r="B15" s="1">
        <v>56.94</v>
      </c>
      <c r="C15" s="8">
        <v>58.7</v>
      </c>
      <c r="D15" s="1">
        <f t="shared" si="0"/>
        <v>32.270000000000003</v>
      </c>
      <c r="E15" s="1">
        <v>26577158.239999998</v>
      </c>
    </row>
    <row r="16" spans="1:14" x14ac:dyDescent="0.2">
      <c r="A16" s="1">
        <v>27.5</v>
      </c>
      <c r="B16" s="1">
        <v>56.82</v>
      </c>
      <c r="C16" s="8">
        <v>61.32</v>
      </c>
      <c r="D16" s="1">
        <f t="shared" si="0"/>
        <v>34.89</v>
      </c>
      <c r="E16" s="1">
        <v>26754532.550000001</v>
      </c>
    </row>
    <row r="17" spans="1:5" x14ac:dyDescent="0.2">
      <c r="A17" s="1">
        <v>30</v>
      </c>
      <c r="B17" s="1">
        <v>56.75</v>
      </c>
      <c r="C17" s="8">
        <v>63.89</v>
      </c>
      <c r="D17" s="1">
        <f t="shared" si="0"/>
        <v>37.46</v>
      </c>
      <c r="E17" s="1">
        <v>26905748.899999999</v>
      </c>
    </row>
    <row r="18" spans="1:5" x14ac:dyDescent="0.2">
      <c r="A18" s="1">
        <v>32.5</v>
      </c>
      <c r="B18" s="1">
        <v>56.72</v>
      </c>
      <c r="C18" s="8">
        <v>66.42</v>
      </c>
      <c r="D18" s="1">
        <f t="shared" si="0"/>
        <v>39.99</v>
      </c>
      <c r="E18" s="1">
        <v>27033874.530000001</v>
      </c>
    </row>
    <row r="19" spans="1:5" x14ac:dyDescent="0.2">
      <c r="A19" s="1">
        <v>35</v>
      </c>
      <c r="B19" s="1">
        <v>56.73</v>
      </c>
      <c r="C19" s="8">
        <v>68.91</v>
      </c>
      <c r="D19" s="1">
        <f t="shared" si="0"/>
        <v>42.48</v>
      </c>
      <c r="E19" s="1">
        <v>27141459.420000002</v>
      </c>
    </row>
    <row r="20" spans="1:5" x14ac:dyDescent="0.2">
      <c r="A20" s="1">
        <v>37.5</v>
      </c>
      <c r="B20" s="1">
        <v>56.78</v>
      </c>
      <c r="C20" s="8">
        <v>71.36</v>
      </c>
      <c r="D20" s="1">
        <f t="shared" si="0"/>
        <v>44.93</v>
      </c>
      <c r="E20" s="1">
        <v>27230644.559999999</v>
      </c>
    </row>
    <row r="21" spans="1:5" x14ac:dyDescent="0.2">
      <c r="A21" s="1">
        <v>40</v>
      </c>
      <c r="B21" s="1">
        <v>56.86</v>
      </c>
      <c r="C21" s="8">
        <v>73.78</v>
      </c>
      <c r="D21" s="1">
        <f t="shared" si="0"/>
        <v>47.35</v>
      </c>
      <c r="E21" s="1">
        <v>27303243.350000001</v>
      </c>
    </row>
    <row r="22" spans="1:5" x14ac:dyDescent="0.2">
      <c r="A22" s="1">
        <v>42.5</v>
      </c>
      <c r="B22" s="1">
        <v>56.97</v>
      </c>
      <c r="C22" s="8">
        <v>76.17</v>
      </c>
      <c r="D22" s="1">
        <f t="shared" si="0"/>
        <v>49.74</v>
      </c>
      <c r="E22" s="1">
        <v>27360803.550000001</v>
      </c>
    </row>
    <row r="23" spans="1:5" x14ac:dyDescent="0.2">
      <c r="A23" s="1">
        <v>45</v>
      </c>
      <c r="B23" s="1">
        <v>57.1</v>
      </c>
      <c r="C23" s="8">
        <v>78.540000000000006</v>
      </c>
      <c r="D23" s="1">
        <f t="shared" si="0"/>
        <v>52.110000000000007</v>
      </c>
      <c r="E23" s="1">
        <v>27404655.359999999</v>
      </c>
    </row>
    <row r="24" spans="1:5" x14ac:dyDescent="0.2">
      <c r="A24" s="1">
        <v>47.5</v>
      </c>
      <c r="B24" s="1">
        <v>57.26</v>
      </c>
      <c r="C24" s="8">
        <v>80.88</v>
      </c>
      <c r="D24" s="1">
        <f t="shared" si="0"/>
        <v>54.449999999999996</v>
      </c>
      <c r="E24" s="1">
        <v>27435949.059999999</v>
      </c>
    </row>
    <row r="25" spans="1:5" x14ac:dyDescent="0.2">
      <c r="A25" s="1">
        <v>50</v>
      </c>
      <c r="B25" s="1">
        <v>57.45</v>
      </c>
      <c r="C25" s="8">
        <v>83.19</v>
      </c>
      <c r="D25" s="1">
        <f t="shared" si="0"/>
        <v>56.76</v>
      </c>
      <c r="E25" s="1">
        <v>27455684.949999999</v>
      </c>
    </row>
    <row r="26" spans="1:5" x14ac:dyDescent="0.2">
      <c r="A26" s="1">
        <v>52.5</v>
      </c>
      <c r="B26" s="1">
        <v>57.65</v>
      </c>
      <c r="C26" s="8">
        <v>85.49</v>
      </c>
      <c r="D26" s="1">
        <f t="shared" si="0"/>
        <v>59.059999999999995</v>
      </c>
      <c r="E26" s="1">
        <v>27464737.32</v>
      </c>
    </row>
    <row r="27" spans="1:5" x14ac:dyDescent="0.2">
      <c r="A27" s="1">
        <v>55</v>
      </c>
      <c r="B27" s="1">
        <v>57.88</v>
      </c>
      <c r="C27" s="8">
        <v>87.76</v>
      </c>
      <c r="D27" s="1">
        <f t="shared" si="0"/>
        <v>61.330000000000005</v>
      </c>
      <c r="E27" s="1">
        <v>27463873.91</v>
      </c>
    </row>
    <row r="28" spans="1:5" x14ac:dyDescent="0.2">
      <c r="A28" s="1">
        <v>57.5</v>
      </c>
      <c r="B28" s="1">
        <v>58.12</v>
      </c>
      <c r="C28" s="8">
        <v>90.02</v>
      </c>
      <c r="D28" s="1">
        <f t="shared" si="0"/>
        <v>63.589999999999996</v>
      </c>
      <c r="E28" s="1">
        <v>27453771.719999999</v>
      </c>
    </row>
    <row r="29" spans="1:5" x14ac:dyDescent="0.2">
      <c r="A29" s="1">
        <v>60</v>
      </c>
      <c r="B29" s="1">
        <v>58.38</v>
      </c>
      <c r="C29" s="8">
        <v>92.26</v>
      </c>
      <c r="D29" s="1">
        <f t="shared" si="0"/>
        <v>65.830000000000013</v>
      </c>
      <c r="E29" s="1">
        <v>27435030.09</v>
      </c>
    </row>
    <row r="30" spans="1:5" x14ac:dyDescent="0.2">
      <c r="A30" s="1">
        <v>62.5</v>
      </c>
      <c r="B30" s="1">
        <v>58.66</v>
      </c>
      <c r="C30" s="8">
        <v>94.48</v>
      </c>
      <c r="D30" s="1">
        <f t="shared" si="0"/>
        <v>68.050000000000011</v>
      </c>
      <c r="E30" s="1">
        <v>27408181.539999999</v>
      </c>
    </row>
    <row r="31" spans="1:5" x14ac:dyDescent="0.2">
      <c r="A31" s="1">
        <v>65</v>
      </c>
      <c r="B31" s="1">
        <v>58.95</v>
      </c>
      <c r="C31" s="8">
        <v>96.69</v>
      </c>
      <c r="D31" s="1">
        <f t="shared" si="0"/>
        <v>70.259999999999991</v>
      </c>
      <c r="E31" s="1">
        <v>27373700.800000001</v>
      </c>
    </row>
    <row r="32" spans="1:5" x14ac:dyDescent="0.2">
      <c r="A32" s="1">
        <v>67.5</v>
      </c>
      <c r="B32" s="1">
        <v>59.52</v>
      </c>
      <c r="C32" s="8">
        <v>98.88</v>
      </c>
      <c r="D32" s="1">
        <f t="shared" si="0"/>
        <v>72.449999999999989</v>
      </c>
      <c r="E32" s="1">
        <v>27332012.370000001</v>
      </c>
    </row>
    <row r="33" spans="1:5" x14ac:dyDescent="0.2">
      <c r="A33" s="1">
        <v>70</v>
      </c>
      <c r="B33" s="1">
        <v>59.58</v>
      </c>
      <c r="C33" s="8">
        <v>101.06</v>
      </c>
      <c r="D33" s="1">
        <f t="shared" si="0"/>
        <v>74.63</v>
      </c>
      <c r="E33" s="1">
        <v>27283496.920000002</v>
      </c>
    </row>
    <row r="34" spans="1:5" x14ac:dyDescent="0.2">
      <c r="A34" s="1">
        <v>72.5</v>
      </c>
      <c r="B34" s="1">
        <v>59.91</v>
      </c>
      <c r="C34" s="8">
        <v>103.23</v>
      </c>
      <c r="D34" s="1">
        <f t="shared" si="0"/>
        <v>76.800000000000011</v>
      </c>
      <c r="E34" s="1">
        <v>27228496.75</v>
      </c>
    </row>
    <row r="35" spans="1:5" x14ac:dyDescent="0.2">
      <c r="A35" s="1">
        <v>75</v>
      </c>
      <c r="B35" s="1">
        <v>60.25</v>
      </c>
      <c r="C35" s="8">
        <v>105.39</v>
      </c>
      <c r="D35" s="1">
        <f t="shared" si="0"/>
        <v>78.960000000000008</v>
      </c>
      <c r="E35" s="1">
        <v>27167320.41</v>
      </c>
    </row>
    <row r="36" spans="1:5" x14ac:dyDescent="0.2">
      <c r="A36" s="1">
        <v>77.5</v>
      </c>
      <c r="B36" s="1">
        <v>60.61</v>
      </c>
      <c r="C36" s="8">
        <v>107.53</v>
      </c>
      <c r="D36" s="1">
        <f t="shared" si="0"/>
        <v>81.099999999999994</v>
      </c>
      <c r="E36" s="1">
        <v>27100246.649999999</v>
      </c>
    </row>
    <row r="37" spans="1:5" x14ac:dyDescent="0.2">
      <c r="A37" s="1">
        <v>80</v>
      </c>
      <c r="B37" s="1">
        <v>61.23</v>
      </c>
      <c r="C37" s="8">
        <v>109.67</v>
      </c>
      <c r="D37" s="1">
        <f t="shared" si="0"/>
        <v>83.240000000000009</v>
      </c>
      <c r="E37" s="1">
        <v>27027527.850000001</v>
      </c>
    </row>
    <row r="38" spans="1:5" x14ac:dyDescent="0.2">
      <c r="A38" s="1">
        <v>82.5</v>
      </c>
      <c r="B38" s="1">
        <v>61.35</v>
      </c>
      <c r="C38" s="8">
        <v>111.79</v>
      </c>
      <c r="D38" s="1">
        <f t="shared" si="0"/>
        <v>85.360000000000014</v>
      </c>
      <c r="E38" s="1">
        <v>26949392.960000001</v>
      </c>
    </row>
    <row r="39" spans="1:5" x14ac:dyDescent="0.2">
      <c r="A39" s="1">
        <v>85</v>
      </c>
      <c r="B39" s="1">
        <v>61.74</v>
      </c>
      <c r="C39" s="8">
        <v>113.9</v>
      </c>
      <c r="D39" s="1">
        <f t="shared" si="0"/>
        <v>87.47</v>
      </c>
      <c r="E39" s="1">
        <v>26866050.07</v>
      </c>
    </row>
    <row r="40" spans="1:5" x14ac:dyDescent="0.2">
      <c r="A40" s="1">
        <v>87.5</v>
      </c>
      <c r="B40" s="1">
        <v>62.13</v>
      </c>
      <c r="C40" s="8">
        <v>116.01</v>
      </c>
      <c r="D40" s="1">
        <f t="shared" si="0"/>
        <v>89.580000000000013</v>
      </c>
      <c r="E40" s="1">
        <v>26777688.600000001</v>
      </c>
    </row>
    <row r="41" spans="1:5" x14ac:dyDescent="0.2">
      <c r="A41" s="1">
        <v>90</v>
      </c>
      <c r="B41" s="1">
        <v>62.54</v>
      </c>
      <c r="C41" s="8">
        <v>118.1</v>
      </c>
      <c r="D41" s="1">
        <f t="shared" si="0"/>
        <v>91.669999999999987</v>
      </c>
      <c r="E41" s="1">
        <v>26684481.280000001</v>
      </c>
    </row>
    <row r="42" spans="1:5" x14ac:dyDescent="0.2">
      <c r="A42" s="1">
        <v>92.5</v>
      </c>
      <c r="B42" s="1">
        <v>62.95</v>
      </c>
      <c r="C42" s="8">
        <v>120.19</v>
      </c>
      <c r="D42" s="1">
        <f t="shared" si="0"/>
        <v>93.759999999999991</v>
      </c>
      <c r="E42" s="1">
        <v>26586585.800000001</v>
      </c>
    </row>
    <row r="43" spans="1:5" x14ac:dyDescent="0.2">
      <c r="A43" s="1">
        <v>95</v>
      </c>
      <c r="B43" s="1">
        <v>63.37</v>
      </c>
      <c r="C43" s="8">
        <v>122.27</v>
      </c>
      <c r="D43" s="1">
        <f t="shared" si="0"/>
        <v>95.84</v>
      </c>
      <c r="E43" s="1">
        <v>26484146.34</v>
      </c>
    </row>
    <row r="44" spans="1:5" x14ac:dyDescent="0.2">
      <c r="A44" s="1">
        <v>97.5</v>
      </c>
      <c r="B44" s="1">
        <v>63.8</v>
      </c>
      <c r="C44" s="8">
        <v>124.34</v>
      </c>
      <c r="D44" s="1">
        <f t="shared" si="0"/>
        <v>97.91</v>
      </c>
      <c r="E44" s="1">
        <v>26377294.870000001</v>
      </c>
    </row>
    <row r="45" spans="1:5" x14ac:dyDescent="0.2">
      <c r="A45" s="1">
        <v>100</v>
      </c>
      <c r="B45" s="1">
        <v>64.23</v>
      </c>
      <c r="C45" s="8">
        <v>126.41</v>
      </c>
      <c r="D45" s="1">
        <f t="shared" si="0"/>
        <v>99.97999999999999</v>
      </c>
      <c r="E45" s="1">
        <v>26266152.300000001</v>
      </c>
    </row>
    <row r="46" spans="1:5" x14ac:dyDescent="0.2">
      <c r="A46" s="1">
        <v>102.5</v>
      </c>
      <c r="B46" s="1">
        <v>64.67</v>
      </c>
      <c r="C46" s="8">
        <v>128.47</v>
      </c>
      <c r="D46" s="1">
        <f t="shared" si="0"/>
        <v>102.03999999999999</v>
      </c>
      <c r="E46" s="1">
        <v>26150829.5</v>
      </c>
    </row>
    <row r="47" spans="1:5" x14ac:dyDescent="0.2">
      <c r="A47" s="1">
        <v>105</v>
      </c>
      <c r="B47" s="1">
        <v>65.12</v>
      </c>
      <c r="C47" s="8">
        <v>130.52000000000001</v>
      </c>
      <c r="D47" s="1">
        <f t="shared" si="0"/>
        <v>104.09</v>
      </c>
      <c r="E47" s="1">
        <v>26031428.23</v>
      </c>
    </row>
    <row r="48" spans="1:5" x14ac:dyDescent="0.2">
      <c r="A48" s="1">
        <v>107.5</v>
      </c>
      <c r="B48" s="1">
        <v>65.58</v>
      </c>
      <c r="C48" s="8">
        <v>132.56</v>
      </c>
      <c r="D48" s="1">
        <f t="shared" si="0"/>
        <v>106.13</v>
      </c>
      <c r="E48" s="1">
        <v>25908041.920000002</v>
      </c>
    </row>
    <row r="49" spans="1:5" x14ac:dyDescent="0.2">
      <c r="A49" s="1">
        <v>110</v>
      </c>
      <c r="B49" s="1">
        <v>66.040000000000006</v>
      </c>
      <c r="C49" s="8">
        <v>134.6</v>
      </c>
      <c r="D49" s="1">
        <f t="shared" si="0"/>
        <v>108.16999999999999</v>
      </c>
      <c r="E49" s="1">
        <v>25780756.420000002</v>
      </c>
    </row>
    <row r="50" spans="1:5" x14ac:dyDescent="0.2">
      <c r="A50" s="1">
        <v>112.5</v>
      </c>
      <c r="B50" s="1">
        <v>66.5</v>
      </c>
      <c r="C50" s="8">
        <v>136.63999999999999</v>
      </c>
      <c r="D50" s="1">
        <f t="shared" si="0"/>
        <v>110.20999999999998</v>
      </c>
      <c r="E50" s="1">
        <v>25649650.600000001</v>
      </c>
    </row>
    <row r="51" spans="1:5" x14ac:dyDescent="0.2">
      <c r="A51" s="1">
        <v>115</v>
      </c>
      <c r="B51" s="1">
        <v>66.98</v>
      </c>
      <c r="C51" s="8">
        <v>138.66</v>
      </c>
      <c r="D51" s="1">
        <f t="shared" si="0"/>
        <v>112.22999999999999</v>
      </c>
      <c r="E51" s="1">
        <v>25514796.960000001</v>
      </c>
    </row>
    <row r="52" spans="1:5" x14ac:dyDescent="0.2">
      <c r="A52" s="1">
        <v>117.5</v>
      </c>
      <c r="B52" s="1">
        <v>67.459999999999994</v>
      </c>
      <c r="C52" s="8">
        <v>140.68</v>
      </c>
      <c r="D52" s="1">
        <f t="shared" si="0"/>
        <v>114.25</v>
      </c>
      <c r="E52" s="1">
        <v>25376262.140000001</v>
      </c>
    </row>
    <row r="53" spans="1:5" x14ac:dyDescent="0.2">
      <c r="A53" s="1">
        <v>120</v>
      </c>
      <c r="B53" s="1">
        <v>67.94</v>
      </c>
      <c r="C53" s="8">
        <v>142.69999999999999</v>
      </c>
      <c r="D53" s="1">
        <f t="shared" si="0"/>
        <v>116.26999999999998</v>
      </c>
      <c r="E53" s="1">
        <v>25234107.350000001</v>
      </c>
    </row>
    <row r="54" spans="1:5" x14ac:dyDescent="0.2">
      <c r="A54" s="1">
        <v>122.5</v>
      </c>
      <c r="B54" s="1">
        <v>68.430000000000007</v>
      </c>
      <c r="C54" s="8">
        <v>144.71</v>
      </c>
      <c r="D54" s="1">
        <f t="shared" si="0"/>
        <v>118.28</v>
      </c>
      <c r="E54" s="1">
        <v>25088387</v>
      </c>
    </row>
    <row r="55" spans="1:5" x14ac:dyDescent="0.2">
      <c r="A55" s="1">
        <v>125</v>
      </c>
      <c r="B55" s="1">
        <v>68.92</v>
      </c>
      <c r="C55" s="8">
        <v>146.72</v>
      </c>
      <c r="D55" s="1">
        <f t="shared" si="0"/>
        <v>120.28999999999999</v>
      </c>
      <c r="E55" s="1">
        <v>24939156.25</v>
      </c>
    </row>
    <row r="56" spans="1:5" x14ac:dyDescent="0.2">
      <c r="A56" s="1">
        <v>127.5</v>
      </c>
      <c r="B56" s="1">
        <v>69.42</v>
      </c>
      <c r="C56" s="8">
        <v>148.72</v>
      </c>
      <c r="D56" s="1">
        <f t="shared" si="0"/>
        <v>122.28999999999999</v>
      </c>
      <c r="E56" s="1">
        <v>24786460.620000001</v>
      </c>
    </row>
    <row r="57" spans="1:5" x14ac:dyDescent="0.2">
      <c r="A57" s="1">
        <v>130</v>
      </c>
      <c r="B57" s="1">
        <v>69.92</v>
      </c>
      <c r="C57" s="8">
        <v>150.72</v>
      </c>
      <c r="D57" s="1">
        <f t="shared" si="0"/>
        <v>124.28999999999999</v>
      </c>
      <c r="E57" s="1">
        <v>24630343.440000001</v>
      </c>
    </row>
    <row r="58" spans="1:5" x14ac:dyDescent="0.2">
      <c r="A58" s="1">
        <v>132.5</v>
      </c>
      <c r="B58" s="1">
        <v>70.430000000000007</v>
      </c>
      <c r="C58" s="8">
        <v>152.71</v>
      </c>
      <c r="D58" s="1">
        <f t="shared" si="0"/>
        <v>126.28</v>
      </c>
      <c r="E58" s="1">
        <v>24470844.289999999</v>
      </c>
    </row>
    <row r="59" spans="1:5" x14ac:dyDescent="0.2">
      <c r="A59" s="1">
        <v>135</v>
      </c>
      <c r="B59" s="1">
        <v>70.94</v>
      </c>
      <c r="C59" s="8">
        <v>154.69999999999999</v>
      </c>
      <c r="D59" s="1">
        <f t="shared" si="0"/>
        <v>128.26999999999998</v>
      </c>
      <c r="E59" s="1">
        <v>24307999.260000002</v>
      </c>
    </row>
    <row r="60" spans="1:5" x14ac:dyDescent="0.2">
      <c r="A60" s="1">
        <v>137.5</v>
      </c>
      <c r="B60" s="1">
        <v>71.45</v>
      </c>
      <c r="C60" s="8">
        <v>156.69</v>
      </c>
      <c r="D60" s="1">
        <f t="shared" si="0"/>
        <v>130.26</v>
      </c>
      <c r="E60" s="1">
        <v>24141841.239999998</v>
      </c>
    </row>
    <row r="61" spans="1:5" x14ac:dyDescent="0.2">
      <c r="A61" s="1">
        <v>140</v>
      </c>
      <c r="B61" s="1">
        <v>71.97</v>
      </c>
      <c r="C61" s="8">
        <v>158.66999999999999</v>
      </c>
      <c r="D61" s="1">
        <f t="shared" si="0"/>
        <v>132.23999999999998</v>
      </c>
      <c r="E61" s="1">
        <v>23972400.02</v>
      </c>
    </row>
    <row r="62" spans="1:5" x14ac:dyDescent="0.2">
      <c r="A62" s="1">
        <v>142.5</v>
      </c>
      <c r="B62" s="1">
        <v>72.489999999999995</v>
      </c>
      <c r="C62" s="8">
        <v>160.65</v>
      </c>
      <c r="D62" s="1">
        <f t="shared" si="0"/>
        <v>134.22</v>
      </c>
      <c r="E62" s="1">
        <v>23799702.57</v>
      </c>
    </row>
    <row r="63" spans="1:5" x14ac:dyDescent="0.2">
      <c r="A63" s="1">
        <v>145</v>
      </c>
      <c r="B63" s="1">
        <v>73.010000000000005</v>
      </c>
      <c r="C63" s="8">
        <v>162.62</v>
      </c>
      <c r="D63" s="1">
        <f t="shared" si="0"/>
        <v>136.19</v>
      </c>
      <c r="E63" s="1">
        <v>23623773.149999999</v>
      </c>
    </row>
    <row r="64" spans="1:5" x14ac:dyDescent="0.2">
      <c r="A64" s="1">
        <v>147.5</v>
      </c>
      <c r="B64" s="1">
        <v>73.55</v>
      </c>
      <c r="C64" s="8">
        <v>164.59</v>
      </c>
      <c r="D64" s="1">
        <f t="shared" si="0"/>
        <v>138.16</v>
      </c>
      <c r="E64" s="1">
        <v>23444633.52</v>
      </c>
    </row>
    <row r="65" spans="1:5" x14ac:dyDescent="0.2">
      <c r="A65" s="1">
        <v>150</v>
      </c>
      <c r="B65" s="1">
        <v>74.08</v>
      </c>
      <c r="C65" s="8">
        <v>166.56</v>
      </c>
      <c r="D65" s="1">
        <f t="shared" si="0"/>
        <v>140.13</v>
      </c>
      <c r="E65" s="1">
        <v>23262303.050000001</v>
      </c>
    </row>
    <row r="66" spans="1:5" x14ac:dyDescent="0.2">
      <c r="A66" s="1">
        <v>152.5</v>
      </c>
      <c r="B66" s="1">
        <v>74.63</v>
      </c>
      <c r="C66" s="8">
        <v>168.52</v>
      </c>
      <c r="D66" s="1">
        <f t="shared" si="0"/>
        <v>142.09</v>
      </c>
      <c r="E66" s="1">
        <v>23076798.960000001</v>
      </c>
    </row>
    <row r="67" spans="1:5" x14ac:dyDescent="0.2">
      <c r="A67" s="1">
        <v>155</v>
      </c>
      <c r="B67" s="1">
        <v>75.16</v>
      </c>
      <c r="C67" s="8">
        <v>170.48</v>
      </c>
      <c r="D67" s="1">
        <f t="shared" si="0"/>
        <v>144.04999999999998</v>
      </c>
      <c r="E67" s="1">
        <v>22888136.449999999</v>
      </c>
    </row>
    <row r="68" spans="1:5" x14ac:dyDescent="0.2">
      <c r="A68" s="1">
        <v>157.5</v>
      </c>
      <c r="B68" s="1">
        <v>75.709999999999994</v>
      </c>
      <c r="C68" s="8">
        <v>172.43</v>
      </c>
      <c r="D68" s="1">
        <f t="shared" si="0"/>
        <v>146</v>
      </c>
      <c r="E68" s="1">
        <v>22696328.940000001</v>
      </c>
    </row>
    <row r="69" spans="1:5" x14ac:dyDescent="0.2">
      <c r="A69" s="1">
        <v>160</v>
      </c>
      <c r="B69" s="1">
        <v>76.25</v>
      </c>
      <c r="C69" s="8">
        <v>174.39</v>
      </c>
      <c r="D69" s="1">
        <f t="shared" si="0"/>
        <v>147.95999999999998</v>
      </c>
      <c r="E69" s="1">
        <v>22501388.460000001</v>
      </c>
    </row>
    <row r="70" spans="1:5" x14ac:dyDescent="0.2">
      <c r="A70" s="1">
        <v>162.5</v>
      </c>
      <c r="B70" s="1">
        <v>76.8</v>
      </c>
      <c r="C70" s="8">
        <v>176.34</v>
      </c>
      <c r="D70" s="1">
        <f t="shared" ref="D70:D111" si="1">C70-26.43</f>
        <v>149.91</v>
      </c>
      <c r="E70" s="1">
        <v>22303326.120000001</v>
      </c>
    </row>
    <row r="71" spans="1:5" x14ac:dyDescent="0.2">
      <c r="A71" s="1">
        <v>165</v>
      </c>
      <c r="B71" s="1">
        <v>77.36</v>
      </c>
      <c r="C71" s="8">
        <v>178.38</v>
      </c>
      <c r="D71" s="1">
        <f t="shared" si="1"/>
        <v>151.94999999999999</v>
      </c>
      <c r="E71" s="1">
        <v>22102153.120000001</v>
      </c>
    </row>
    <row r="72" spans="1:5" x14ac:dyDescent="0.2">
      <c r="A72" s="1">
        <v>167.5</v>
      </c>
      <c r="B72" s="1">
        <v>77.91</v>
      </c>
      <c r="C72" s="8">
        <v>180.23</v>
      </c>
      <c r="D72" s="1">
        <f t="shared" si="1"/>
        <v>153.79999999999998</v>
      </c>
      <c r="E72" s="1">
        <v>21897882.77</v>
      </c>
    </row>
    <row r="73" spans="1:5" x14ac:dyDescent="0.2">
      <c r="A73" s="1">
        <v>170</v>
      </c>
      <c r="B73" s="1">
        <v>78.47</v>
      </c>
      <c r="C73" s="8">
        <v>182.17</v>
      </c>
      <c r="D73" s="1">
        <f t="shared" si="1"/>
        <v>155.73999999999998</v>
      </c>
      <c r="E73" s="1">
        <v>21690535.210000001</v>
      </c>
    </row>
    <row r="74" spans="1:5" x14ac:dyDescent="0.2">
      <c r="A74" s="1">
        <v>172.5</v>
      </c>
      <c r="B74" s="1">
        <v>79.03</v>
      </c>
      <c r="C74" s="8">
        <v>184.11</v>
      </c>
      <c r="D74" s="1">
        <f t="shared" si="1"/>
        <v>157.68</v>
      </c>
      <c r="E74" s="1">
        <v>21480150.670000002</v>
      </c>
    </row>
    <row r="75" spans="1:5" x14ac:dyDescent="0.2">
      <c r="A75" s="1">
        <v>175</v>
      </c>
      <c r="B75" s="1">
        <v>79.599999999999994</v>
      </c>
      <c r="C75" s="8">
        <v>186.04</v>
      </c>
      <c r="D75" s="1">
        <f t="shared" si="1"/>
        <v>159.60999999999999</v>
      </c>
      <c r="E75" s="1">
        <v>21266836.68</v>
      </c>
    </row>
    <row r="76" spans="1:5" x14ac:dyDescent="0.2">
      <c r="A76" s="1">
        <v>177.5</v>
      </c>
      <c r="B76" s="1">
        <v>80.17</v>
      </c>
      <c r="C76" s="8">
        <v>187.97</v>
      </c>
      <c r="D76" s="1">
        <f t="shared" si="1"/>
        <v>161.54</v>
      </c>
      <c r="E76" s="1">
        <v>21051027.850000001</v>
      </c>
    </row>
    <row r="77" spans="1:5" x14ac:dyDescent="0.2">
      <c r="A77" s="1">
        <v>180</v>
      </c>
      <c r="B77" s="1">
        <v>80.739999999999995</v>
      </c>
      <c r="C77" s="8">
        <v>189.9</v>
      </c>
      <c r="D77" s="1">
        <f t="shared" si="1"/>
        <v>163.47</v>
      </c>
      <c r="E77" s="1">
        <v>20838181.010000002</v>
      </c>
    </row>
    <row r="78" spans="1:5" x14ac:dyDescent="0.2">
      <c r="A78" s="1">
        <v>182.5</v>
      </c>
      <c r="B78" s="1">
        <v>81.31</v>
      </c>
      <c r="C78" s="8">
        <v>191.83</v>
      </c>
      <c r="D78" s="1">
        <f t="shared" si="1"/>
        <v>165.4</v>
      </c>
      <c r="E78" s="1">
        <v>20957850.649999999</v>
      </c>
    </row>
    <row r="79" spans="1:5" x14ac:dyDescent="0.2">
      <c r="A79" s="1">
        <v>185</v>
      </c>
      <c r="B79" s="1">
        <v>81.89</v>
      </c>
      <c r="C79" s="8">
        <v>193.75</v>
      </c>
      <c r="D79" s="1">
        <f t="shared" si="1"/>
        <v>167.32</v>
      </c>
      <c r="E79" s="1">
        <v>21244796.350000001</v>
      </c>
    </row>
    <row r="80" spans="1:5" x14ac:dyDescent="0.2">
      <c r="A80" s="1">
        <v>187.5</v>
      </c>
      <c r="B80" s="1">
        <v>82.46</v>
      </c>
      <c r="C80" s="8">
        <v>195.68</v>
      </c>
      <c r="D80" s="1">
        <f t="shared" si="1"/>
        <v>169.25</v>
      </c>
      <c r="E80" s="1">
        <v>21537037.59</v>
      </c>
    </row>
    <row r="81" spans="1:5" x14ac:dyDescent="0.2">
      <c r="A81" s="1">
        <v>190</v>
      </c>
      <c r="B81" s="1">
        <v>83.05</v>
      </c>
      <c r="C81" s="8">
        <v>197.59</v>
      </c>
      <c r="D81" s="1">
        <f t="shared" si="1"/>
        <v>171.16</v>
      </c>
      <c r="E81" s="1">
        <v>21832909.850000001</v>
      </c>
    </row>
    <row r="82" spans="1:5" x14ac:dyDescent="0.2">
      <c r="A82" s="1">
        <v>192.5</v>
      </c>
      <c r="B82" s="1">
        <v>83.63</v>
      </c>
      <c r="C82" s="8">
        <v>199.51</v>
      </c>
      <c r="D82" s="1">
        <f t="shared" si="1"/>
        <v>173.07999999999998</v>
      </c>
      <c r="E82" s="1">
        <v>22132171.390000001</v>
      </c>
    </row>
    <row r="83" spans="1:5" x14ac:dyDescent="0.2">
      <c r="A83" s="1">
        <v>195</v>
      </c>
      <c r="B83" s="1">
        <v>84.21</v>
      </c>
      <c r="C83" s="8">
        <v>201.43</v>
      </c>
      <c r="D83" s="1">
        <f t="shared" si="1"/>
        <v>175</v>
      </c>
      <c r="E83" s="1">
        <v>22434756.329999998</v>
      </c>
    </row>
    <row r="84" spans="1:5" x14ac:dyDescent="0.2">
      <c r="A84" s="1">
        <v>197.5</v>
      </c>
      <c r="B84" s="1">
        <v>84.8</v>
      </c>
      <c r="C84" s="8">
        <v>203.34</v>
      </c>
      <c r="D84" s="1">
        <f t="shared" si="1"/>
        <v>176.91</v>
      </c>
      <c r="E84" s="1">
        <v>22740644.18</v>
      </c>
    </row>
    <row r="85" spans="1:5" x14ac:dyDescent="0.2">
      <c r="A85" s="1">
        <v>200</v>
      </c>
      <c r="B85" s="1">
        <v>85.39</v>
      </c>
      <c r="C85" s="8">
        <v>205.25</v>
      </c>
      <c r="D85" s="1">
        <f t="shared" si="1"/>
        <v>178.82</v>
      </c>
      <c r="E85" s="1">
        <v>23049831.18</v>
      </c>
    </row>
    <row r="86" spans="1:5" x14ac:dyDescent="0.2">
      <c r="A86" s="1">
        <v>202.5</v>
      </c>
      <c r="B86" s="1">
        <v>85.99</v>
      </c>
      <c r="C86" s="8">
        <v>207.15</v>
      </c>
      <c r="D86" s="1">
        <f t="shared" si="1"/>
        <v>180.72</v>
      </c>
      <c r="E86" s="1">
        <v>23362321.43</v>
      </c>
    </row>
    <row r="87" spans="1:5" x14ac:dyDescent="0.2">
      <c r="A87" s="1">
        <v>205</v>
      </c>
      <c r="B87" s="1">
        <v>86.58</v>
      </c>
      <c r="C87" s="8">
        <v>209.06</v>
      </c>
      <c r="D87" s="1">
        <f t="shared" si="1"/>
        <v>182.63</v>
      </c>
      <c r="E87" s="1">
        <v>23678123.579999998</v>
      </c>
    </row>
    <row r="88" spans="1:5" x14ac:dyDescent="0.2">
      <c r="A88" s="1">
        <v>207.5</v>
      </c>
      <c r="B88" s="1">
        <v>87.18</v>
      </c>
      <c r="C88" s="8">
        <v>210.96</v>
      </c>
      <c r="D88" s="1">
        <f t="shared" si="1"/>
        <v>184.53</v>
      </c>
      <c r="E88" s="1">
        <v>23997249.449999999</v>
      </c>
    </row>
    <row r="89" spans="1:5" x14ac:dyDescent="0.2">
      <c r="A89" s="1">
        <v>210</v>
      </c>
      <c r="B89" s="1">
        <v>87.78</v>
      </c>
      <c r="C89" s="8">
        <v>212.86</v>
      </c>
      <c r="D89" s="1">
        <f t="shared" si="1"/>
        <v>186.43</v>
      </c>
      <c r="E89" s="1">
        <v>24319713.379999999</v>
      </c>
    </row>
    <row r="90" spans="1:5" x14ac:dyDescent="0.2">
      <c r="A90" s="1">
        <v>212.5</v>
      </c>
      <c r="B90" s="1">
        <v>88.39</v>
      </c>
      <c r="C90" s="8">
        <v>214.75</v>
      </c>
      <c r="D90" s="1">
        <f t="shared" si="1"/>
        <v>188.32</v>
      </c>
      <c r="E90" s="1">
        <v>24645531.93</v>
      </c>
    </row>
    <row r="91" spans="1:5" x14ac:dyDescent="0.2">
      <c r="A91" s="1">
        <v>215</v>
      </c>
      <c r="B91" s="1">
        <v>88.99</v>
      </c>
      <c r="C91" s="8">
        <v>216.65</v>
      </c>
      <c r="D91" s="1">
        <f t="shared" si="1"/>
        <v>190.22</v>
      </c>
      <c r="E91" s="1">
        <v>24974723.82</v>
      </c>
    </row>
    <row r="92" spans="1:5" x14ac:dyDescent="0.2">
      <c r="A92" s="1">
        <v>217.5</v>
      </c>
      <c r="B92" s="1">
        <v>89.6</v>
      </c>
      <c r="C92" s="8">
        <v>218.54</v>
      </c>
      <c r="D92" s="1">
        <f t="shared" si="1"/>
        <v>192.10999999999999</v>
      </c>
      <c r="E92" s="1">
        <v>25307309.91</v>
      </c>
    </row>
    <row r="93" spans="1:5" x14ac:dyDescent="0.2">
      <c r="A93" s="1">
        <v>220</v>
      </c>
      <c r="B93" s="1">
        <v>90.21</v>
      </c>
      <c r="C93" s="8">
        <v>220.43</v>
      </c>
      <c r="D93" s="1">
        <f t="shared" si="1"/>
        <v>194</v>
      </c>
      <c r="E93" s="1">
        <v>25643313.309999999</v>
      </c>
    </row>
    <row r="94" spans="1:5" x14ac:dyDescent="0.2">
      <c r="A94" s="1">
        <v>222.5</v>
      </c>
      <c r="B94" s="1">
        <v>90.82</v>
      </c>
      <c r="C94" s="8">
        <v>222.32</v>
      </c>
      <c r="D94" s="1">
        <f t="shared" si="1"/>
        <v>195.89</v>
      </c>
      <c r="E94" s="1">
        <v>25982759.460000001</v>
      </c>
    </row>
    <row r="95" spans="1:5" x14ac:dyDescent="0.2">
      <c r="A95" s="1">
        <v>225</v>
      </c>
      <c r="B95" s="1">
        <v>91.44</v>
      </c>
      <c r="C95" s="8">
        <v>224.2</v>
      </c>
      <c r="D95" s="1">
        <f t="shared" si="1"/>
        <v>197.76999999999998</v>
      </c>
      <c r="E95" s="1">
        <v>26325676.370000001</v>
      </c>
    </row>
    <row r="96" spans="1:5" x14ac:dyDescent="0.2">
      <c r="A96" s="1">
        <v>227.5</v>
      </c>
      <c r="B96" s="1">
        <v>92.06</v>
      </c>
      <c r="C96" s="8">
        <v>226.08</v>
      </c>
      <c r="D96" s="1">
        <f t="shared" si="1"/>
        <v>199.65</v>
      </c>
      <c r="E96" s="1">
        <v>26672094.75</v>
      </c>
    </row>
    <row r="97" spans="1:5" x14ac:dyDescent="0.2">
      <c r="A97" s="1">
        <v>230</v>
      </c>
      <c r="B97" s="1">
        <v>92.68</v>
      </c>
      <c r="C97" s="8">
        <v>227.96</v>
      </c>
      <c r="D97" s="1">
        <f t="shared" si="1"/>
        <v>201.53</v>
      </c>
      <c r="E97" s="1">
        <v>27022048.32</v>
      </c>
    </row>
    <row r="98" spans="1:5" x14ac:dyDescent="0.2">
      <c r="A98" s="1">
        <v>232.5</v>
      </c>
      <c r="B98" s="1">
        <v>93.3</v>
      </c>
      <c r="C98" s="8">
        <v>229.84</v>
      </c>
      <c r="D98" s="1">
        <f t="shared" si="1"/>
        <v>203.41</v>
      </c>
      <c r="E98" s="1">
        <v>27375574.109999999</v>
      </c>
    </row>
    <row r="99" spans="1:5" x14ac:dyDescent="0.2">
      <c r="A99" s="1">
        <v>235</v>
      </c>
      <c r="B99" s="1">
        <v>93.93</v>
      </c>
      <c r="C99" s="8">
        <v>231.71</v>
      </c>
      <c r="D99" s="1">
        <f t="shared" si="1"/>
        <v>205.28</v>
      </c>
      <c r="E99" s="1">
        <v>27732712.780000001</v>
      </c>
    </row>
    <row r="100" spans="1:5" x14ac:dyDescent="0.2">
      <c r="A100" s="1">
        <v>237.5</v>
      </c>
      <c r="B100" s="1">
        <v>94.56</v>
      </c>
      <c r="C100" s="8">
        <v>233.58</v>
      </c>
      <c r="D100" s="1">
        <f t="shared" si="1"/>
        <v>207.15</v>
      </c>
      <c r="E100" s="1">
        <v>28093509.07</v>
      </c>
    </row>
    <row r="101" spans="1:5" x14ac:dyDescent="0.2">
      <c r="A101" s="1">
        <v>240</v>
      </c>
      <c r="B101" s="1">
        <v>95.19</v>
      </c>
      <c r="C101" s="8">
        <v>235.45</v>
      </c>
      <c r="D101" s="1">
        <f t="shared" si="1"/>
        <v>209.01999999999998</v>
      </c>
      <c r="E101" s="1">
        <v>28458012.289999999</v>
      </c>
    </row>
    <row r="102" spans="1:5" x14ac:dyDescent="0.2">
      <c r="A102" s="1">
        <v>242.5</v>
      </c>
      <c r="B102" s="1">
        <v>95.82</v>
      </c>
      <c r="C102" s="8">
        <v>237.32</v>
      </c>
      <c r="D102" s="1">
        <f t="shared" si="1"/>
        <v>210.89</v>
      </c>
      <c r="E102" s="1">
        <v>28826276.870000001</v>
      </c>
    </row>
    <row r="103" spans="1:5" x14ac:dyDescent="0.2">
      <c r="A103" s="1">
        <v>245</v>
      </c>
      <c r="B103" s="1">
        <v>96.46</v>
      </c>
      <c r="C103" s="8">
        <v>239.18</v>
      </c>
      <c r="D103" s="1">
        <f t="shared" si="1"/>
        <v>212.75</v>
      </c>
      <c r="E103" s="1">
        <v>29198363.07</v>
      </c>
    </row>
    <row r="104" spans="1:5" x14ac:dyDescent="0.2">
      <c r="A104" s="1">
        <v>247.5</v>
      </c>
      <c r="B104" s="1">
        <v>97.1</v>
      </c>
      <c r="C104" s="8">
        <v>241.04</v>
      </c>
      <c r="D104" s="1">
        <f t="shared" si="1"/>
        <v>214.60999999999999</v>
      </c>
      <c r="E104" s="1">
        <v>29574337.809999999</v>
      </c>
    </row>
    <row r="105" spans="1:5" x14ac:dyDescent="0.2">
      <c r="A105" s="1">
        <v>250</v>
      </c>
      <c r="B105" s="1">
        <v>97.74</v>
      </c>
      <c r="C105" s="8">
        <v>242.9</v>
      </c>
      <c r="D105" s="1">
        <f t="shared" si="1"/>
        <v>216.47</v>
      </c>
      <c r="E105" s="1">
        <v>29954275.59</v>
      </c>
    </row>
    <row r="106" spans="1:5" x14ac:dyDescent="0.2">
      <c r="A106" s="1">
        <v>252.5</v>
      </c>
      <c r="B106" s="1">
        <v>98.39</v>
      </c>
      <c r="C106" s="8">
        <v>244.75</v>
      </c>
      <c r="D106" s="1">
        <f t="shared" si="1"/>
        <v>218.32</v>
      </c>
      <c r="E106" s="1">
        <v>30338259.760000002</v>
      </c>
    </row>
    <row r="107" spans="1:5" x14ac:dyDescent="0.2">
      <c r="A107" s="1">
        <v>255</v>
      </c>
      <c r="B107" s="1">
        <v>99.04</v>
      </c>
      <c r="C107" s="8">
        <v>246.6</v>
      </c>
      <c r="D107" s="1">
        <f t="shared" si="1"/>
        <v>220.17</v>
      </c>
      <c r="E107" s="1">
        <v>30726383.850000001</v>
      </c>
    </row>
    <row r="108" spans="1:5" x14ac:dyDescent="0.2">
      <c r="A108" s="1">
        <v>257.5</v>
      </c>
      <c r="B108" s="1">
        <v>99.69</v>
      </c>
      <c r="C108" s="8">
        <v>248.45</v>
      </c>
      <c r="D108" s="1">
        <f t="shared" si="1"/>
        <v>222.01999999999998</v>
      </c>
      <c r="E108" s="1">
        <v>31118753.41</v>
      </c>
    </row>
    <row r="109" spans="1:5" x14ac:dyDescent="0.2">
      <c r="A109" s="1">
        <v>260</v>
      </c>
      <c r="B109" s="1">
        <v>100.35</v>
      </c>
      <c r="C109" s="8">
        <v>250.29</v>
      </c>
      <c r="D109" s="1">
        <f t="shared" si="1"/>
        <v>223.85999999999999</v>
      </c>
      <c r="E109" s="1">
        <v>31515488.149999999</v>
      </c>
    </row>
    <row r="110" spans="1:5" x14ac:dyDescent="0.2">
      <c r="A110" s="1">
        <v>262.5</v>
      </c>
      <c r="B110" s="1">
        <v>101.01</v>
      </c>
      <c r="C110" s="8">
        <v>252.13</v>
      </c>
      <c r="D110" s="1">
        <f t="shared" si="1"/>
        <v>225.7</v>
      </c>
      <c r="E110" s="1">
        <v>31916724.68</v>
      </c>
    </row>
    <row r="111" spans="1:5" x14ac:dyDescent="0.2">
      <c r="A111" s="1">
        <v>265</v>
      </c>
      <c r="B111" s="1">
        <v>101.68</v>
      </c>
      <c r="C111" s="8">
        <v>253.96</v>
      </c>
      <c r="D111" s="1">
        <f t="shared" si="1"/>
        <v>227.53</v>
      </c>
      <c r="E111" s="1">
        <v>32322619.91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锦奕 洪</dc:creator>
  <cp:lastModifiedBy>office</cp:lastModifiedBy>
  <dcterms:created xsi:type="dcterms:W3CDTF">2023-11-20T16:14:34Z</dcterms:created>
  <dcterms:modified xsi:type="dcterms:W3CDTF">2025-06-11T07:01:20Z</dcterms:modified>
</cp:coreProperties>
</file>